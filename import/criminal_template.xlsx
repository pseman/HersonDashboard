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ybercrimes analysis\HersonDashboard\import\"/>
    </mc:Choice>
  </mc:AlternateContent>
  <xr:revisionPtr revIDLastSave="0" documentId="13_ncr:1_{53CFAD24-D68E-4906-9BF6-B5DE31897B0F}" xr6:coauthVersionLast="47" xr6:coauthVersionMax="47" xr10:uidLastSave="{00000000-0000-0000-0000-000000000000}"/>
  <bookViews>
    <workbookView xWindow="-108" yWindow="-108" windowWidth="23256" windowHeight="12576" xr2:uid="{047F5679-CA9F-42DC-9D1D-B93B45D3401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" i="1" l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<sst xmlns="http://schemas.openxmlformats.org/spreadsheetml/2006/main" count="236" uniqueCount="109">
  <si>
    <t>omvd_name</t>
  </si>
  <si>
    <t>crime_date</t>
  </si>
  <si>
    <t>registration_place</t>
  </si>
  <si>
    <t>registration_number</t>
  </si>
  <si>
    <t>registration_date</t>
  </si>
  <si>
    <t>crime_article</t>
  </si>
  <si>
    <t>fraud_type</t>
  </si>
  <si>
    <t>victim_gender</t>
  </si>
  <si>
    <t>victim_birthday</t>
  </si>
  <si>
    <t>crime_category_name</t>
  </si>
  <si>
    <t>sum_damage</t>
  </si>
  <si>
    <t>ГУ МВД по Херсонской области</t>
  </si>
  <si>
    <t>ОМВД России «Генический»</t>
  </si>
  <si>
    <t>ОМВД России «Скадовский»</t>
  </si>
  <si>
    <t>ОМВД России «Новотроицкое»</t>
  </si>
  <si>
    <t>ОМВД России «Каховский»</t>
  </si>
  <si>
    <t xml:space="preserve"> ОМВД России «Новокаховский»</t>
  </si>
  <si>
    <t>ОМВД России «Чаплынское»</t>
  </si>
  <si>
    <t>ОМВД России «Каланчакский»</t>
  </si>
  <si>
    <t>ОМВД России «Каланчакское»</t>
  </si>
  <si>
    <t>ОМВД России «Нижнесерогозское»</t>
  </si>
  <si>
    <t>ОМВД России «Чаплинское»</t>
  </si>
  <si>
    <t>ОМВД России «Голопристанский»</t>
  </si>
  <si>
    <t>ОМВД России «Новокаховский»</t>
  </si>
  <si>
    <t>ОМВД России «Качанчакское»</t>
  </si>
  <si>
    <t>ОМВД России «Ивановское»</t>
  </si>
  <si>
    <t>Отделение МВД России «Чаплынское»</t>
  </si>
  <si>
    <r>
      <t>Отделение МВД России «</t>
    </r>
    <r>
      <rPr>
        <sz val="10"/>
        <color rgb="FF0C0D0E"/>
        <rFont val="PT Astra Serif"/>
      </rPr>
      <t>Скадовский</t>
    </r>
    <r>
      <rPr>
        <sz val="10"/>
        <color theme="1"/>
        <rFont val="PT Astra Serif"/>
      </rPr>
      <t>»</t>
    </r>
  </si>
  <si>
    <t>КУСП № 659 от 02.03.2026</t>
  </si>
  <si>
    <t>КУСП № 130 от 11.02.2026</t>
  </si>
  <si>
    <t>КУСП № 184 от 03.03.2026</t>
  </si>
  <si>
    <t>КУСП № 348 от 03.03.2026</t>
  </si>
  <si>
    <t>КУСП № 356 от 04.03.2026</t>
  </si>
  <si>
    <t>КУСП №689 от 04.03.2026</t>
  </si>
  <si>
    <t>КУСП № 690 от 04.03.2026</t>
  </si>
  <si>
    <t>КУСП № 1219 от 05.03.2026</t>
  </si>
  <si>
    <t>КУСП № 742 от 07.03.2026</t>
  </si>
  <si>
    <t>КУСП № 197 от 10.03.2026</t>
  </si>
  <si>
    <t>КУСП № 791 от 11.03.2026</t>
  </si>
  <si>
    <t>КУСП 1332 от 11.03.2026</t>
  </si>
  <si>
    <t>КУСП № 809 от 12.03.2026</t>
  </si>
  <si>
    <t>п. «г» ч. 3 ст. 158 УК РФ</t>
  </si>
  <si>
    <t>ч. 2 ст. 159 УК РФ</t>
  </si>
  <si>
    <t>ч. 3 ст. 30 ч. 2 ст. 159 УК РФ</t>
  </si>
  <si>
    <t>ч. 2 ст. 272 УК РФ</t>
  </si>
  <si>
    <t>ч. 1 ст. 159 УК РФ</t>
  </si>
  <si>
    <t>ч.1 ст.159 УК РФ</t>
  </si>
  <si>
    <t>КУСП 45 от 03.01.2026</t>
  </si>
  <si>
    <t>КУСП № 29 от 05.01.2026</t>
  </si>
  <si>
    <t>КУСП № 82 от 11.01.2026</t>
  </si>
  <si>
    <t>КУСП № № 91 от 11.01.2026</t>
  </si>
  <si>
    <t xml:space="preserve">КУСП 177 от 13.01.2026 </t>
  </si>
  <si>
    <t>КУСП № 42 от 13.01.2026</t>
  </si>
  <si>
    <t>КУСП № 120 от 15.01.2026</t>
  </si>
  <si>
    <t xml:space="preserve"> КУСП № 84 от 16.01.2026</t>
  </si>
  <si>
    <t xml:space="preserve"> КУСП № 151 от 16.01.2026</t>
  </si>
  <si>
    <t xml:space="preserve">КУСП 125 от 15.01.2026 </t>
  </si>
  <si>
    <t>КУСП 274 от 19.01.2026</t>
  </si>
  <si>
    <t>КУСП № 140 от 19.01.2026 г.</t>
  </si>
  <si>
    <t>КУСП № 163 от 22.01.2026</t>
  </si>
  <si>
    <t xml:space="preserve">КУСП № 182 от 19.01.2026 </t>
  </si>
  <si>
    <t>КУСП № 183 от 19.01.2026</t>
  </si>
  <si>
    <t>КУСП № 190 от 20.01.2026</t>
  </si>
  <si>
    <t xml:space="preserve">КУСП № 444 от 27.01.2026 </t>
  </si>
  <si>
    <t>КУСП № 238 от 27.01.2026</t>
  </si>
  <si>
    <t>КУСП № 128 от 27.01.2026</t>
  </si>
  <si>
    <t>КУСП 458 от 27.01.2026</t>
  </si>
  <si>
    <t xml:space="preserve"> КУСП № 252 от 29.01.2026</t>
  </si>
  <si>
    <t>КУСП 487 от 28.01.2026</t>
  </si>
  <si>
    <t>КУСП № 234 от 29.01.2026</t>
  </si>
  <si>
    <t>КУСП № 251 от 29.01.2026</t>
  </si>
  <si>
    <t>КУСП № 233 от 29.01.2026 г</t>
  </si>
  <si>
    <t>КУСП № 141 от 30.01.2026</t>
  </si>
  <si>
    <t xml:space="preserve">КУСП № 527 от  30.01.2026. </t>
  </si>
  <si>
    <t xml:space="preserve">КУСП № 316 от 04.02.2026 </t>
  </si>
  <si>
    <t>КУСП 677 от 07.02.2026</t>
  </si>
  <si>
    <t>КУСП № 179 от 07.02.2026</t>
  </si>
  <si>
    <t xml:space="preserve">КУСП № 112 от 07.02.2026 </t>
  </si>
  <si>
    <t>КУСП № 728 от 10.02.2026</t>
  </si>
  <si>
    <t>КУСП № 226   от 12.02.2026</t>
  </si>
  <si>
    <t>КУСП № 408 от 14.02.2026</t>
  </si>
  <si>
    <t>КУСП № 447 от 14.02.2026</t>
  </si>
  <si>
    <t>КУСП № 445 от 14.02.2026</t>
  </si>
  <si>
    <t xml:space="preserve">КУСП № 448 от 14.02.2026   </t>
  </si>
  <si>
    <t>КУСП № 428 от 16.02.2026</t>
  </si>
  <si>
    <t>КУСП № 236 от 16.02.2026</t>
  </si>
  <si>
    <t>КУСП 874 от 16.02.2026</t>
  </si>
  <si>
    <t>КУСП № 540 от 19.02.2026</t>
  </si>
  <si>
    <t>КУСП 1025 от 24.02.2026</t>
  </si>
  <si>
    <t>КУСП № 549 от 20.02.2026</t>
  </si>
  <si>
    <t>КУСП 472 от 27.02.2026</t>
  </si>
  <si>
    <t>КУСП 1133 от 01.03.2026</t>
  </si>
  <si>
    <t xml:space="preserve"> п. «г» ч. 3 ст. 158 УК РФ</t>
  </si>
  <si>
    <t>ч. 2 ст. 158 УК РФ</t>
  </si>
  <si>
    <t>ч. 3 ст. 158 УК РФ</t>
  </si>
  <si>
    <t xml:space="preserve">ч.1 ст. 159 УК РФ </t>
  </si>
  <si>
    <t xml:space="preserve">ч. 3 ст. 159 УК РФ </t>
  </si>
  <si>
    <t>ч. 3 ст. 159 УК РФ</t>
  </si>
  <si>
    <t>ч. 3 ст. 30 п. «г» ч. 3 ст. 158 УК РФ</t>
  </si>
  <si>
    <t>ч. 1 ст. 163 УК РФ</t>
  </si>
  <si>
    <t>п. «г» ч. 1 ст. 159 УК РФ</t>
  </si>
  <si>
    <t>ч. 4 ст. 159 УК РФ</t>
  </si>
  <si>
    <t>Кража с карты/счета</t>
  </si>
  <si>
    <t>Мошенничество при покупке/услугах</t>
  </si>
  <si>
    <t>Мошенничество «безопасный счёт»</t>
  </si>
  <si>
    <t>Прочие виды</t>
  </si>
  <si>
    <t>Вымогательство</t>
  </si>
  <si>
    <t>Неправомерный доступ (ст.272)</t>
  </si>
  <si>
    <t>Социальная инженерия (коды/мессенджеры)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</si>
</sst>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7">
    <font>
      <sz val="11"/>
      <color theme="1"/>
      <name val="Calibri"/>
      <family val="2"/>
      <charset val="204"/>
      <scheme val="minor"/>
    </font>
    <font>
      <sz val="9"/>
      <color rgb="FF0F1115"/>
      <name val="Inter"/>
      <family val="2"/>
      <charset val="204"/>
    </font>
    <font>
      <sz val="9"/>
      <color rgb="FF0F1115"/>
      <name val="Inter"/>
      <family val="2"/>
      <charset val="204"/>
    </font>
    <font>
      <sz val="11"/>
      <color theme="1"/>
      <name val="Calibri"/>
      <family val="2"/>
      <scheme val="minor"/>
    </font>
    <font>
      <sz val="10"/>
      <color rgb="FF000000"/>
      <name val="PT Astra Serif"/>
    </font>
    <font>
      <sz val="10"/>
      <color theme="1"/>
      <name val="PT Astra Serif"/>
    </font>
    <font>
      <sz val="10"/>
      <color rgb="FF0C0D0E"/>
      <name val="PT Astra Serif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14" fontId="2" fillId="2" borderId="0" xfId="0" applyNumberFormat="1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0" fillId="3" borderId="0" xfId="0" applyFill="1"/>
    <xf numFmtId="0" fontId="1" fillId="3" borderId="1" xfId="0" applyFont="1" applyFill="1" applyBorder="1" applyAlignment="1">
      <alignment horizontal="left" vertical="center" wrapText="1" indent="1"/>
    </xf>
    <xf numFmtId="0" fontId="4" fillId="4" borderId="1" xfId="1" applyFont="1" applyFill="1" applyBorder="1" applyAlignment="1">
      <alignment horizontal="center" vertical="center" wrapText="1"/>
    </xf>
    <xf numFmtId="14" fontId="4" fillId="4" borderId="1" xfId="1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14" fontId="5" fillId="0" borderId="1" xfId="1" applyNumberFormat="1" applyFont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14" fontId="5" fillId="4" borderId="1" xfId="1" applyNumberFormat="1" applyFont="1" applyFill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164" fontId="4" fillId="4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2">
    <cellStyle name="Обычный" xfId="0" builtinId="0"/>
    <cellStyle name="Обычный 2" xfId="1" xr:uid="{5F50C5C7-7A3A-472E-85A1-C0C9A0E9E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A862-CD8E-4AC5-89AD-92EEDD4D3AFA}">
  <dimension ref="A1:K59"/>
  <sheetViews>
    <sheetView tabSelected="1" topLeftCell="C1" workbookViewId="0">
      <selection activeCell="K2" sqref="K2"/>
    </sheetView>
  </sheetViews>
  <sheetFormatPr defaultRowHeight="14.4"/>
  <cols>
    <col min="1" max="1" width="20.6640625" customWidth="1"/>
    <col min="2" max="2" width="16.33203125" customWidth="1"/>
    <col min="3" max="3" width="18.21875" customWidth="1"/>
    <col min="4" max="4" width="20.6640625" customWidth="1"/>
    <col min="5" max="5" width="20.77734375" customWidth="1"/>
    <col min="6" max="6" width="21.109375" customWidth="1"/>
    <col min="7" max="7" width="17.44140625" customWidth="1"/>
    <col min="8" max="8" width="18.44140625" customWidth="1"/>
    <col min="9" max="9" width="16" customWidth="1"/>
    <col min="10" max="10" width="22.77734375" customWidth="1"/>
    <col min="11" max="11" width="19.44140625" customWidth="1"/>
  </cols>
  <sheetData>
    <row r="1" spans="1:11" s="3" customForma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6.4">
      <c r="A2" s="5" t="s">
        <v>12</v>
      </c>
      <c r="B2" s="6">
        <v>46025</v>
      </c>
      <c r="C2" s="5" t="s">
        <v>47</v>
      </c>
      <c r="D2">
        <v>45</v>
      </c>
      <c r="E2" s="1" t="str">
        <f>RIGHT(C2,10)</f>
        <v>03.01.2026</v>
      </c>
      <c r="F2" s="5" t="s">
        <v>92</v>
      </c>
      <c r="G2" s="5" t="str">
        <f t="shared" ref="G2:G59" si="0">IF(OR(ISNUMBER(SEARCH("кража",B2)),ISNUMBER(SEARCH("карты",B2)),ISNUMBER(SEARCH("счета",B2))),"Кража с карты/счета",IF(OR(ISNUMBER(SEARCH("безопасный счет",B2)),ISNUMBER(SEARCH("безопасного счета",B2)),ISNUMBER(SEARCH("предотвращения незаконных действий",B2))),"Мошенничество «безопасный счёт»",IF(OR(ISNUMBER(SEARCH("покупк",B2)),ISNUMBER(SEARCH("оплата",B2)),ISNUMBER(SEARCH("авито",B2)),ISNUMBER(SEARCH("автомобиля",B2)),ISNUMBER(SEARCH("колес",B2))),"Мошенничество при покупке/услугах",IF(OR(ISNUMBER(SEARCH("продиктовал",B2)),ISNUMBER(SEARCH("смс код",B2)),ISNUMBER(SEARCH("бот псб",B2)),ISNUMBER(SEARCH("мессенджер",B2))),"Социальная инженерия (коды/мессенджеры)",IF(OR(ISNUMBER(SEARCH("неправомерный доступ",B2)),ISNUMBER(SEARCH("ст. 272",#REF!))),"Неправомерный доступ (ст.272)",IF(OR(ISNUMBER(SEARCH("вымогательство",B2)),ISNUMBER(SEARCH("ст. 163",#REF!))),"Вымогательство","Прочие виды"))))))</f>
        <v>Прочие виды</v>
      </c>
      <c r="H2" s="16">
        <v>0</v>
      </c>
      <c r="I2" s="6">
        <v>31997</v>
      </c>
      <c r="J2" s="5" t="s">
        <v>102</v>
      </c>
      <c r="K2" s="14">
        <v>20000</v>
      </c>
    </row>
    <row r="3" spans="1:11" ht="26.4">
      <c r="A3" s="7" t="s">
        <v>13</v>
      </c>
      <c r="B3" s="8">
        <v>46027</v>
      </c>
      <c r="C3" s="7" t="s">
        <v>48</v>
      </c>
      <c r="D3">
        <v>29</v>
      </c>
      <c r="E3" s="1" t="str">
        <f t="shared" ref="E3:E59" si="1">RIGHT(C3,10)</f>
        <v>05.01.2026</v>
      </c>
      <c r="F3" s="7" t="s">
        <v>41</v>
      </c>
      <c r="G3" s="7" t="str">
        <f t="shared" ref="G3:G59" si="2">IF(OR(ISNUMBER(SEARCH("кража",B3)),ISNUMBER(SEARCH("карты",B3)),ISNUMBER(SEARCH("счета",B3))),"Кража с карты/счета",IF(OR(ISNUMBER(SEARCH("безопасный счет",B3)),ISNUMBER(SEARCH("безопасного счета",B3)),ISNUMBER(SEARCH("предотвращения незаконных действий",B3))),"Мошенничество «безопасный счёт»",IF(OR(ISNUMBER(SEARCH("покупк",B3)),ISNUMBER(SEARCH("оплата",B3)),ISNUMBER(SEARCH("авито",B3)),ISNUMBER(SEARCH("автомобиля",B3)),ISNUMBER(SEARCH("колес",B3))),"Мошенничество при покупке/услугах",IF(OR(ISNUMBER(SEARCH("продиктовал",B3)),ISNUMBER(SEARCH("смс код",B3)),ISNUMBER(SEARCH("бот псб",B3)),ISNUMBER(SEARCH("мессенджер",B3))),"Социальная инженерия (коды/мессенджеры)",IF(OR(ISNUMBER(SEARCH("неправомерный доступ",B3)),ISNUMBER(SEARCH("ст. 272",#REF!))),"Неправомерный доступ (ст.272)",IF(OR(ISNUMBER(SEARCH("вымогательство",B3)),ISNUMBER(SEARCH("ст. 163",#REF!))),"Вымогательство","Прочие виды"))))))</f>
        <v>Прочие виды</v>
      </c>
      <c r="H3" s="16">
        <v>1</v>
      </c>
      <c r="I3" s="8">
        <v>21116</v>
      </c>
      <c r="J3" s="7" t="s">
        <v>102</v>
      </c>
      <c r="K3" s="15">
        <v>40000</v>
      </c>
    </row>
    <row r="4" spans="1:11" ht="26.4">
      <c r="A4" s="5" t="s">
        <v>14</v>
      </c>
      <c r="B4" s="6">
        <v>46033</v>
      </c>
      <c r="C4" s="5" t="s">
        <v>49</v>
      </c>
      <c r="D4">
        <v>82</v>
      </c>
      <c r="E4" s="1" t="str">
        <f t="shared" si="1"/>
        <v>11.01.2026</v>
      </c>
      <c r="F4" s="5" t="s">
        <v>41</v>
      </c>
      <c r="G4" s="5" t="str">
        <f t="shared" ref="G4:G59" si="3">IF(OR(ISNUMBER(SEARCH("кража",B4)),ISNUMBER(SEARCH("карты",B4)),ISNUMBER(SEARCH("счета",B4))),"Кража с карты/счета",IF(OR(ISNUMBER(SEARCH("безопасный счет",B4)),ISNUMBER(SEARCH("безопасного счета",B4)),ISNUMBER(SEARCH("предотвращения незаконных действий",B4))),"Мошенничество «безопасный счёт»",IF(OR(ISNUMBER(SEARCH("покупк",B4)),ISNUMBER(SEARCH("оплата",B4)),ISNUMBER(SEARCH("авито",B4)),ISNUMBER(SEARCH("автомобиля",B4)),ISNUMBER(SEARCH("колес",B4))),"Мошенничество при покупке/услугах",IF(OR(ISNUMBER(SEARCH("продиктовал",B4)),ISNUMBER(SEARCH("смс код",B4)),ISNUMBER(SEARCH("бот псб",B4)),ISNUMBER(SEARCH("мессенджер",B4))),"Социальная инженерия (коды/мессенджеры)",IF(OR(ISNUMBER(SEARCH("неправомерный доступ",B4)),ISNUMBER(SEARCH("ст. 272",#REF!))),"Неправомерный доступ (ст.272)",IF(OR(ISNUMBER(SEARCH("вымогательство",B4)),ISNUMBER(SEARCH("ст. 163",#REF!))),"Вымогательство","Прочие виды"))))))</f>
        <v>Прочие виды</v>
      </c>
      <c r="H4" s="16">
        <v>1</v>
      </c>
      <c r="I4" s="6">
        <v>32334</v>
      </c>
      <c r="J4" s="5" t="s">
        <v>102</v>
      </c>
      <c r="K4" s="14">
        <v>60000</v>
      </c>
    </row>
    <row r="5" spans="1:11" ht="26.4">
      <c r="A5" s="9" t="s">
        <v>15</v>
      </c>
      <c r="B5" s="10">
        <v>46033</v>
      </c>
      <c r="C5" s="13" t="s">
        <v>50</v>
      </c>
      <c r="D5">
        <v>91</v>
      </c>
      <c r="E5" s="1" t="str">
        <f t="shared" si="1"/>
        <v>11.01.2026</v>
      </c>
      <c r="F5" s="7" t="s">
        <v>93</v>
      </c>
      <c r="G5" s="7" t="str">
        <f t="shared" ref="G5:G59" si="4">IF(OR(ISNUMBER(SEARCH("кража",B5)),ISNUMBER(SEARCH("карты",B5)),ISNUMBER(SEARCH("счета",B5))),"Кража с карты/счета",IF(OR(ISNUMBER(SEARCH("безопасный счет",B5)),ISNUMBER(SEARCH("безопасного счета",B5)),ISNUMBER(SEARCH("предотвращения незаконных действий",B5))),"Мошенничество «безопасный счёт»",IF(OR(ISNUMBER(SEARCH("покупк",B5)),ISNUMBER(SEARCH("оплата",B5)),ISNUMBER(SEARCH("авито",B5)),ISNUMBER(SEARCH("автомобиля",B5)),ISNUMBER(SEARCH("колес",B5))),"Мошенничество при покупке/услугах",IF(OR(ISNUMBER(SEARCH("продиктовал",B5)),ISNUMBER(SEARCH("смс код",B5)),ISNUMBER(SEARCH("бот псб",B5)),ISNUMBER(SEARCH("мессенджер",B5))),"Социальная инженерия (коды/мессенджеры)",IF(OR(ISNUMBER(SEARCH("неправомерный доступ",B5)),ISNUMBER(SEARCH("ст. 272",#REF!))),"Неправомерный доступ (ст.272)",IF(OR(ISNUMBER(SEARCH("вымогательство",B5)),ISNUMBER(SEARCH("ст. 163",#REF!))),"Вымогательство","Прочие виды"))))))</f>
        <v>Прочие виды</v>
      </c>
      <c r="H5" s="16">
        <v>0</v>
      </c>
      <c r="I5" s="10">
        <v>24154</v>
      </c>
      <c r="J5" s="7" t="s">
        <v>103</v>
      </c>
      <c r="K5" s="15">
        <v>40000</v>
      </c>
    </row>
    <row r="6" spans="1:11" ht="26.4">
      <c r="A6" s="5" t="s">
        <v>12</v>
      </c>
      <c r="B6" s="6">
        <v>46035</v>
      </c>
      <c r="C6" s="5" t="s">
        <v>51</v>
      </c>
      <c r="D6">
        <v>177</v>
      </c>
      <c r="E6" s="1" t="str">
        <f t="shared" si="1"/>
        <v xml:space="preserve">3.01.2026 </v>
      </c>
      <c r="F6" s="5" t="s">
        <v>41</v>
      </c>
      <c r="G6" s="5" t="str">
        <f t="shared" ref="G6:G59" si="5">IF(OR(ISNUMBER(SEARCH("кража",B6)),ISNUMBER(SEARCH("карты",B6)),ISNUMBER(SEARCH("счета",B6))),"Кража с карты/счета",IF(OR(ISNUMBER(SEARCH("безопасный счет",B6)),ISNUMBER(SEARCH("безопасного счета",B6)),ISNUMBER(SEARCH("предотвращения незаконных действий",B6))),"Мошенничество «безопасный счёт»",IF(OR(ISNUMBER(SEARCH("покупк",B6)),ISNUMBER(SEARCH("оплата",B6)),ISNUMBER(SEARCH("авито",B6)),ISNUMBER(SEARCH("автомобиля",B6)),ISNUMBER(SEARCH("колес",B6))),"Мошенничество при покупке/услугах",IF(OR(ISNUMBER(SEARCH("продиктовал",B6)),ISNUMBER(SEARCH("смс код",B6)),ISNUMBER(SEARCH("бот псб",B6)),ISNUMBER(SEARCH("мессенджер",B6))),"Социальная инженерия (коды/мессенджеры)",IF(OR(ISNUMBER(SEARCH("неправомерный доступ",B6)),ISNUMBER(SEARCH("ст. 272",#REF!))),"Неправомерный доступ (ст.272)",IF(OR(ISNUMBER(SEARCH("вымогательство",B6)),ISNUMBER(SEARCH("ст. 163",#REF!))),"Вымогательство","Прочие виды"))))))</f>
        <v>Прочие виды</v>
      </c>
      <c r="H6" s="16">
        <v>1</v>
      </c>
      <c r="I6" s="6">
        <v>22845</v>
      </c>
      <c r="J6" s="5" t="s">
        <v>102</v>
      </c>
      <c r="K6" s="14">
        <v>26500</v>
      </c>
    </row>
    <row r="7" spans="1:11" ht="26.4">
      <c r="A7" s="9" t="s">
        <v>11</v>
      </c>
      <c r="B7" s="10">
        <v>46035</v>
      </c>
      <c r="C7" s="9" t="s">
        <v>52</v>
      </c>
      <c r="D7">
        <v>42</v>
      </c>
      <c r="E7" s="1" t="str">
        <f t="shared" si="1"/>
        <v>13.01.2026</v>
      </c>
      <c r="F7" s="7" t="s">
        <v>93</v>
      </c>
      <c r="G7" s="7" t="str">
        <f t="shared" ref="G7:G59" si="6">IF(OR(ISNUMBER(SEARCH("кража",B7)),ISNUMBER(SEARCH("карты",B7)),ISNUMBER(SEARCH("счета",B7))),"Кража с карты/счета",IF(OR(ISNUMBER(SEARCH("безопасный счет",B7)),ISNUMBER(SEARCH("безопасного счета",B7)),ISNUMBER(SEARCH("предотвращения незаконных действий",B7))),"Мошенничество «безопасный счёт»",IF(OR(ISNUMBER(SEARCH("покупк",B7)),ISNUMBER(SEARCH("оплата",B7)),ISNUMBER(SEARCH("авито",B7)),ISNUMBER(SEARCH("автомобиля",B7)),ISNUMBER(SEARCH("колес",B7))),"Мошенничество при покупке/услугах",IF(OR(ISNUMBER(SEARCH("продиктовал",B7)),ISNUMBER(SEARCH("смс код",B7)),ISNUMBER(SEARCH("бот псб",B7)),ISNUMBER(SEARCH("мессенджер",B7))),"Социальная инженерия (коды/мессенджеры)",IF(OR(ISNUMBER(SEARCH("неправомерный доступ",B7)),ISNUMBER(SEARCH("ст. 272",#REF!))),"Неправомерный доступ (ст.272)",IF(OR(ISNUMBER(SEARCH("вымогательство",B7)),ISNUMBER(SEARCH("ст. 163",#REF!))),"Вымогательство","Прочие виды"))))))</f>
        <v>Прочие виды</v>
      </c>
      <c r="H7" s="16">
        <v>0</v>
      </c>
      <c r="I7" s="10">
        <v>29267</v>
      </c>
      <c r="J7" s="7" t="s">
        <v>104</v>
      </c>
      <c r="K7" s="15">
        <v>66500</v>
      </c>
    </row>
    <row r="8" spans="1:11" ht="26.4">
      <c r="A8" s="5" t="s">
        <v>16</v>
      </c>
      <c r="B8" s="6">
        <v>46037</v>
      </c>
      <c r="C8" s="5" t="s">
        <v>53</v>
      </c>
      <c r="D8">
        <v>120</v>
      </c>
      <c r="E8" s="1" t="str">
        <f t="shared" si="1"/>
        <v>15.01.2026</v>
      </c>
      <c r="F8" s="5" t="s">
        <v>94</v>
      </c>
      <c r="G8" s="5" t="str">
        <f t="shared" ref="G8:G59" si="7">IF(OR(ISNUMBER(SEARCH("кража",B8)),ISNUMBER(SEARCH("карты",B8)),ISNUMBER(SEARCH("счета",B8))),"Кража с карты/счета",IF(OR(ISNUMBER(SEARCH("безопасный счет",B8)),ISNUMBER(SEARCH("безопасного счета",B8)),ISNUMBER(SEARCH("предотвращения незаконных действий",B8))),"Мошенничество «безопасный счёт»",IF(OR(ISNUMBER(SEARCH("покупк",B8)),ISNUMBER(SEARCH("оплата",B8)),ISNUMBER(SEARCH("авито",B8)),ISNUMBER(SEARCH("автомобиля",B8)),ISNUMBER(SEARCH("колес",B8))),"Мошенничество при покупке/услугах",IF(OR(ISNUMBER(SEARCH("продиктовал",B8)),ISNUMBER(SEARCH("смс код",B8)),ISNUMBER(SEARCH("бот псб",B8)),ISNUMBER(SEARCH("мессенджер",B8))),"Социальная инженерия (коды/мессенджеры)",IF(OR(ISNUMBER(SEARCH("неправомерный доступ",B8)),ISNUMBER(SEARCH("ст. 272",#REF!))),"Неправомерный доступ (ст.272)",IF(OR(ISNUMBER(SEARCH("вымогательство",B8)),ISNUMBER(SEARCH("ст. 163",#REF!))),"Вымогательство","Прочие виды"))))))</f>
        <v>Прочие виды</v>
      </c>
      <c r="H8" s="16">
        <v>1</v>
      </c>
      <c r="I8" s="6">
        <v>22503</v>
      </c>
      <c r="J8" s="5" t="s">
        <v>102</v>
      </c>
      <c r="K8" s="14">
        <v>14000</v>
      </c>
    </row>
    <row r="9" spans="1:11" ht="26.4">
      <c r="A9" s="9" t="s">
        <v>17</v>
      </c>
      <c r="B9" s="10">
        <v>46038</v>
      </c>
      <c r="C9" s="9" t="s">
        <v>54</v>
      </c>
      <c r="D9">
        <v>84</v>
      </c>
      <c r="E9" s="1" t="str">
        <f t="shared" si="1"/>
        <v>16.01.2026</v>
      </c>
      <c r="F9" s="9" t="s">
        <v>95</v>
      </c>
      <c r="G9" s="7" t="str">
        <f t="shared" ref="G9:G59" si="8">IF(OR(ISNUMBER(SEARCH("кража",B9)),ISNUMBER(SEARCH("карты",B9)),ISNUMBER(SEARCH("счета",B9))),"Кража с карты/счета",IF(OR(ISNUMBER(SEARCH("безопасный счет",B9)),ISNUMBER(SEARCH("безопасного счета",B9)),ISNUMBER(SEARCH("предотвращения незаконных действий",B9))),"Мошенничество «безопасный счёт»",IF(OR(ISNUMBER(SEARCH("покупк",B9)),ISNUMBER(SEARCH("оплата",B9)),ISNUMBER(SEARCH("авито",B9)),ISNUMBER(SEARCH("автомобиля",B9)),ISNUMBER(SEARCH("колес",B9))),"Мошенничество при покупке/услугах",IF(OR(ISNUMBER(SEARCH("продиктовал",B9)),ISNUMBER(SEARCH("смс код",B9)),ISNUMBER(SEARCH("бот псб",B9)),ISNUMBER(SEARCH("мессенджер",B9))),"Социальная инженерия (коды/мессенджеры)",IF(OR(ISNUMBER(SEARCH("неправомерный доступ",B9)),ISNUMBER(SEARCH("ст. 272",#REF!))),"Неправомерный доступ (ст.272)",IF(OR(ISNUMBER(SEARCH("вымогательство",B9)),ISNUMBER(SEARCH("ст. 163",#REF!))),"Вымогательство","Прочие виды"))))))</f>
        <v>Прочие виды</v>
      </c>
      <c r="H9" s="16">
        <v>0</v>
      </c>
      <c r="I9" s="10">
        <v>27286</v>
      </c>
      <c r="J9" s="7" t="s">
        <v>103</v>
      </c>
      <c r="K9" s="15">
        <v>58000</v>
      </c>
    </row>
    <row r="10" spans="1:11" ht="26.4">
      <c r="A10" s="11" t="s">
        <v>15</v>
      </c>
      <c r="B10" s="12">
        <v>46038</v>
      </c>
      <c r="C10" s="11" t="s">
        <v>55</v>
      </c>
      <c r="D10">
        <v>151</v>
      </c>
      <c r="E10" s="1" t="str">
        <f t="shared" si="1"/>
        <v>16.01.2026</v>
      </c>
      <c r="F10" s="11" t="s">
        <v>96</v>
      </c>
      <c r="G10" s="5" t="str">
        <f t="shared" ref="G10:G59" si="9">IF(OR(ISNUMBER(SEARCH("кража",B10)),ISNUMBER(SEARCH("карты",B10)),ISNUMBER(SEARCH("счета",B10))),"Кража с карты/счета",IF(OR(ISNUMBER(SEARCH("безопасный счет",B10)),ISNUMBER(SEARCH("безопасного счета",B10)),ISNUMBER(SEARCH("предотвращения незаконных действий",B10))),"Мошенничество «безопасный счёт»",IF(OR(ISNUMBER(SEARCH("покупк",B10)),ISNUMBER(SEARCH("оплата",B10)),ISNUMBER(SEARCH("авито",B10)),ISNUMBER(SEARCH("автомобиля",B10)),ISNUMBER(SEARCH("колес",B10))),"Мошенничество при покупке/услугах",IF(OR(ISNUMBER(SEARCH("продиктовал",B10)),ISNUMBER(SEARCH("смс код",B10)),ISNUMBER(SEARCH("бот псб",B10)),ISNUMBER(SEARCH("мессенджер",B10))),"Социальная инженерия (коды/мессенджеры)",IF(OR(ISNUMBER(SEARCH("неправомерный доступ",B10)),ISNUMBER(SEARCH("ст. 272",#REF!))),"Неправомерный доступ (ст.272)",IF(OR(ISNUMBER(SEARCH("вымогательство",B10)),ISNUMBER(SEARCH("ст. 163",#REF!))),"Вымогательство","Прочие виды"))))))</f>
        <v>Прочие виды</v>
      </c>
      <c r="H10" s="16">
        <v>1</v>
      </c>
      <c r="I10" s="12">
        <v>20465</v>
      </c>
      <c r="J10" s="5" t="s">
        <v>103</v>
      </c>
      <c r="K10" s="14">
        <v>33000</v>
      </c>
    </row>
    <row r="11" spans="1:11" ht="26.4">
      <c r="A11" s="7" t="s">
        <v>14</v>
      </c>
      <c r="B11" s="8">
        <v>46037</v>
      </c>
      <c r="C11" s="7" t="s">
        <v>56</v>
      </c>
      <c r="D11">
        <v>125</v>
      </c>
      <c r="E11" s="1" t="str">
        <f t="shared" si="1"/>
        <v xml:space="preserve">5.01.2026 </v>
      </c>
      <c r="F11" s="7" t="s">
        <v>41</v>
      </c>
      <c r="G11" s="7" t="str">
        <f t="shared" ref="G11:G59" si="10">IF(OR(ISNUMBER(SEARCH("кража",B11)),ISNUMBER(SEARCH("карты",B11)),ISNUMBER(SEARCH("счета",B11))),"Кража с карты/счета",IF(OR(ISNUMBER(SEARCH("безопасный счет",B11)),ISNUMBER(SEARCH("безопасного счета",B11)),ISNUMBER(SEARCH("предотвращения незаконных действий",B11))),"Мошенничество «безопасный счёт»",IF(OR(ISNUMBER(SEARCH("покупк",B11)),ISNUMBER(SEARCH("оплата",B11)),ISNUMBER(SEARCH("авито",B11)),ISNUMBER(SEARCH("автомобиля",B11)),ISNUMBER(SEARCH("колес",B11))),"Мошенничество при покупке/услугах",IF(OR(ISNUMBER(SEARCH("продиктовал",B11)),ISNUMBER(SEARCH("смс код",B11)),ISNUMBER(SEARCH("бот псб",B11)),ISNUMBER(SEARCH("мессенджер",B11))),"Социальная инженерия (коды/мессенджеры)",IF(OR(ISNUMBER(SEARCH("неправомерный доступ",B11)),ISNUMBER(SEARCH("ст. 272",#REF!))),"Неправомерный доступ (ст.272)",IF(OR(ISNUMBER(SEARCH("вымогательство",B11)),ISNUMBER(SEARCH("ст. 163",#REF!))),"Вымогательство","Прочие виды"))))))</f>
        <v>Прочие виды</v>
      </c>
      <c r="H11" s="16">
        <v>0</v>
      </c>
      <c r="I11" s="8">
        <v>26269</v>
      </c>
      <c r="J11" s="7" t="s">
        <v>102</v>
      </c>
      <c r="K11" s="15">
        <v>78000</v>
      </c>
    </row>
    <row r="12" spans="1:11" ht="26.4">
      <c r="A12" s="5" t="s">
        <v>12</v>
      </c>
      <c r="B12" s="6">
        <v>46041</v>
      </c>
      <c r="C12" s="5" t="s">
        <v>57</v>
      </c>
      <c r="D12">
        <v>274</v>
      </c>
      <c r="E12" s="1" t="str">
        <f t="shared" si="1"/>
        <v>19.01.2026</v>
      </c>
      <c r="F12" s="5" t="s">
        <v>41</v>
      </c>
      <c r="G12" s="5" t="str">
        <f t="shared" ref="G12:G59" si="11">IF(OR(ISNUMBER(SEARCH("кража",B12)),ISNUMBER(SEARCH("карты",B12)),ISNUMBER(SEARCH("счета",B12))),"Кража с карты/счета",IF(OR(ISNUMBER(SEARCH("безопасный счет",B12)),ISNUMBER(SEARCH("безопасного счета",B12)),ISNUMBER(SEARCH("предотвращения незаконных действий",B12))),"Мошенничество «безопасный счёт»",IF(OR(ISNUMBER(SEARCH("покупк",B12)),ISNUMBER(SEARCH("оплата",B12)),ISNUMBER(SEARCH("авито",B12)),ISNUMBER(SEARCH("автомобиля",B12)),ISNUMBER(SEARCH("колес",B12))),"Мошенничество при покупке/услугах",IF(OR(ISNUMBER(SEARCH("продиктовал",B12)),ISNUMBER(SEARCH("смс код",B12)),ISNUMBER(SEARCH("бот псб",B12)),ISNUMBER(SEARCH("мессенджер",B12))),"Социальная инженерия (коды/мессенджеры)",IF(OR(ISNUMBER(SEARCH("неправомерный доступ",B12)),ISNUMBER(SEARCH("ст. 272",#REF!))),"Неправомерный доступ (ст.272)",IF(OR(ISNUMBER(SEARCH("вымогательство",B12)),ISNUMBER(SEARCH("ст. 163",#REF!))),"Вымогательство","Прочие виды"))))))</f>
        <v>Прочие виды</v>
      </c>
      <c r="H12" s="16">
        <v>1</v>
      </c>
      <c r="I12" s="6">
        <v>28797</v>
      </c>
      <c r="J12" s="5" t="s">
        <v>102</v>
      </c>
      <c r="K12" s="14">
        <v>20000</v>
      </c>
    </row>
    <row r="13" spans="1:11" ht="26.4">
      <c r="A13" s="7" t="s">
        <v>14</v>
      </c>
      <c r="B13" s="8">
        <v>46041</v>
      </c>
      <c r="C13" s="7" t="s">
        <v>58</v>
      </c>
      <c r="D13">
        <v>140</v>
      </c>
      <c r="E13" s="1" t="str">
        <f t="shared" si="1"/>
        <v>01.2026 г.</v>
      </c>
      <c r="F13" s="7"/>
      <c r="G13" s="7" t="str">
        <f t="shared" ref="G13:G59" si="12">IF(OR(ISNUMBER(SEARCH("кража",B13)),ISNUMBER(SEARCH("карты",B13)),ISNUMBER(SEARCH("счета",B13))),"Кража с карты/счета",IF(OR(ISNUMBER(SEARCH("безопасный счет",B13)),ISNUMBER(SEARCH("безопасного счета",B13)),ISNUMBER(SEARCH("предотвращения незаконных действий",B13))),"Мошенничество «безопасный счёт»",IF(OR(ISNUMBER(SEARCH("покупк",B13)),ISNUMBER(SEARCH("оплата",B13)),ISNUMBER(SEARCH("авито",B13)),ISNUMBER(SEARCH("автомобиля",B13)),ISNUMBER(SEARCH("колес",B13))),"Мошенничество при покупке/услугах",IF(OR(ISNUMBER(SEARCH("продиктовал",B13)),ISNUMBER(SEARCH("смс код",B13)),ISNUMBER(SEARCH("бот псб",B13)),ISNUMBER(SEARCH("мессенджер",B13))),"Социальная инженерия (коды/мессенджеры)",IF(OR(ISNUMBER(SEARCH("неправомерный доступ",B13)),ISNUMBER(SEARCH("ст. 272",#REF!))),"Неправомерный доступ (ст.272)",IF(OR(ISNUMBER(SEARCH("вымогательство",B13)),ISNUMBER(SEARCH("ст. 163",#REF!))),"Вымогательство","Прочие виды"))))))</f>
        <v>Прочие виды</v>
      </c>
      <c r="H13" s="16">
        <v>1</v>
      </c>
      <c r="I13" s="8">
        <v>30155</v>
      </c>
      <c r="J13" s="7" t="s">
        <v>102</v>
      </c>
      <c r="K13" s="15">
        <v>30000</v>
      </c>
    </row>
    <row r="14" spans="1:11" ht="26.4">
      <c r="A14" s="11" t="s">
        <v>14</v>
      </c>
      <c r="B14" s="12">
        <v>46041</v>
      </c>
      <c r="C14" s="11" t="s">
        <v>59</v>
      </c>
      <c r="D14">
        <v>163</v>
      </c>
      <c r="E14" s="1" t="str">
        <f t="shared" si="1"/>
        <v>22.01.2026</v>
      </c>
      <c r="F14" s="5" t="s">
        <v>41</v>
      </c>
      <c r="G14" s="5" t="str">
        <f t="shared" ref="G14:G59" si="13">IF(OR(ISNUMBER(SEARCH("кража",B14)),ISNUMBER(SEARCH("карты",B14)),ISNUMBER(SEARCH("счета",B14))),"Кража с карты/счета",IF(OR(ISNUMBER(SEARCH("безопасный счет",B14)),ISNUMBER(SEARCH("безопасного счета",B14)),ISNUMBER(SEARCH("предотвращения незаконных действий",B14))),"Мошенничество «безопасный счёт»",IF(OR(ISNUMBER(SEARCH("покупк",B14)),ISNUMBER(SEARCH("оплата",B14)),ISNUMBER(SEARCH("авито",B14)),ISNUMBER(SEARCH("автомобиля",B14)),ISNUMBER(SEARCH("колес",B14))),"Мошенничество при покупке/услугах",IF(OR(ISNUMBER(SEARCH("продиктовал",B14)),ISNUMBER(SEARCH("смс код",B14)),ISNUMBER(SEARCH("бот псб",B14)),ISNUMBER(SEARCH("мессенджер",B14))),"Социальная инженерия (коды/мессенджеры)",IF(OR(ISNUMBER(SEARCH("неправомерный доступ",B14)),ISNUMBER(SEARCH("ст. 272",#REF!))),"Неправомерный доступ (ст.272)",IF(OR(ISNUMBER(SEARCH("вымогательство",B14)),ISNUMBER(SEARCH("ст. 163",#REF!))),"Вымогательство","Прочие виды"))))))</f>
        <v>Прочие виды</v>
      </c>
      <c r="H14" s="16">
        <v>1</v>
      </c>
      <c r="I14" s="12">
        <v>18878</v>
      </c>
      <c r="J14" s="5" t="s">
        <v>102</v>
      </c>
      <c r="K14" s="14">
        <v>45000</v>
      </c>
    </row>
    <row r="15" spans="1:11" ht="26.4">
      <c r="A15" s="9" t="s">
        <v>15</v>
      </c>
      <c r="B15" s="10">
        <v>46041</v>
      </c>
      <c r="C15" s="9" t="s">
        <v>60</v>
      </c>
      <c r="D15">
        <v>182</v>
      </c>
      <c r="E15" s="1" t="str">
        <f t="shared" si="1"/>
        <v xml:space="preserve">9.01.2026 </v>
      </c>
      <c r="F15" s="9" t="s">
        <v>42</v>
      </c>
      <c r="G15" s="7" t="str">
        <f t="shared" ref="G15:G59" si="14">IF(OR(ISNUMBER(SEARCH("кража",B15)),ISNUMBER(SEARCH("карты",B15)),ISNUMBER(SEARCH("счета",B15))),"Кража с карты/счета",IF(OR(ISNUMBER(SEARCH("безопасный счет",B15)),ISNUMBER(SEARCH("безопасного счета",B15)),ISNUMBER(SEARCH("предотвращения незаконных действий",B15))),"Мошенничество «безопасный счёт»",IF(OR(ISNUMBER(SEARCH("покупк",B15)),ISNUMBER(SEARCH("оплата",B15)),ISNUMBER(SEARCH("авито",B15)),ISNUMBER(SEARCH("автомобиля",B15)),ISNUMBER(SEARCH("колес",B15))),"Мошенничество при покупке/услугах",IF(OR(ISNUMBER(SEARCH("продиктовал",B15)),ISNUMBER(SEARCH("смс код",B15)),ISNUMBER(SEARCH("бот псб",B15)),ISNUMBER(SEARCH("мессенджер",B15))),"Социальная инженерия (коды/мессенджеры)",IF(OR(ISNUMBER(SEARCH("неправомерный доступ",B15)),ISNUMBER(SEARCH("ст. 272",#REF!))),"Неправомерный доступ (ст.272)",IF(OR(ISNUMBER(SEARCH("вымогательство",B15)),ISNUMBER(SEARCH("ст. 163",#REF!))),"Вымогательство","Прочие виды"))))))</f>
        <v>Прочие виды</v>
      </c>
      <c r="H15" s="16">
        <v>1</v>
      </c>
      <c r="I15" s="10">
        <v>18878</v>
      </c>
      <c r="J15" s="7" t="s">
        <v>104</v>
      </c>
      <c r="K15" s="15">
        <v>9800</v>
      </c>
    </row>
    <row r="16" spans="1:11" ht="26.4">
      <c r="A16" s="11" t="s">
        <v>15</v>
      </c>
      <c r="B16" s="12">
        <v>46041</v>
      </c>
      <c r="C16" s="11" t="s">
        <v>61</v>
      </c>
      <c r="D16">
        <v>183</v>
      </c>
      <c r="E16" s="1" t="str">
        <f t="shared" si="1"/>
        <v>19.01.2026</v>
      </c>
      <c r="F16" s="11" t="s">
        <v>42</v>
      </c>
      <c r="G16" s="5" t="str">
        <f t="shared" ref="G16:G59" si="15">IF(OR(ISNUMBER(SEARCH("кража",B16)),ISNUMBER(SEARCH("карты",B16)),ISNUMBER(SEARCH("счета",B16))),"Кража с карты/счета",IF(OR(ISNUMBER(SEARCH("безопасный счет",B16)),ISNUMBER(SEARCH("безопасного счета",B16)),ISNUMBER(SEARCH("предотвращения незаконных действий",B16))),"Мошенничество «безопасный счёт»",IF(OR(ISNUMBER(SEARCH("покупк",B16)),ISNUMBER(SEARCH("оплата",B16)),ISNUMBER(SEARCH("авито",B16)),ISNUMBER(SEARCH("автомобиля",B16)),ISNUMBER(SEARCH("колес",B16))),"Мошенничество при покупке/услугах",IF(OR(ISNUMBER(SEARCH("продиктовал",B16)),ISNUMBER(SEARCH("смс код",B16)),ISNUMBER(SEARCH("бот псб",B16)),ISNUMBER(SEARCH("мессенджер",B16))),"Социальная инженерия (коды/мессенджеры)",IF(OR(ISNUMBER(SEARCH("неправомерный доступ",B16)),ISNUMBER(SEARCH("ст. 272",#REF!))),"Неправомерный доступ (ст.272)",IF(OR(ISNUMBER(SEARCH("вымогательство",B16)),ISNUMBER(SEARCH("ст. 163",#REF!))),"Вымогательство","Прочие виды"))))))</f>
        <v>Прочие виды</v>
      </c>
      <c r="H16" s="16">
        <v>0</v>
      </c>
      <c r="I16" s="12">
        <v>27216</v>
      </c>
      <c r="J16" s="5" t="s">
        <v>104</v>
      </c>
      <c r="K16" s="14">
        <v>5800</v>
      </c>
    </row>
    <row r="17" spans="1:11" ht="26.4">
      <c r="A17" s="7" t="s">
        <v>15</v>
      </c>
      <c r="B17" s="8">
        <v>46042</v>
      </c>
      <c r="C17" s="7" t="s">
        <v>62</v>
      </c>
      <c r="D17">
        <v>190</v>
      </c>
      <c r="E17" s="1" t="str">
        <f t="shared" si="1"/>
        <v>20.01.2026</v>
      </c>
      <c r="F17" s="7" t="s">
        <v>41</v>
      </c>
      <c r="G17" s="7" t="str">
        <f t="shared" ref="G17:G59" si="16">IF(OR(ISNUMBER(SEARCH("кража",B17)),ISNUMBER(SEARCH("карты",B17)),ISNUMBER(SEARCH("счета",B17))),"Кража с карты/счета",IF(OR(ISNUMBER(SEARCH("безопасный счет",B17)),ISNUMBER(SEARCH("безопасного счета",B17)),ISNUMBER(SEARCH("предотвращения незаконных действий",B17))),"Мошенничество «безопасный счёт»",IF(OR(ISNUMBER(SEARCH("покупк",B17)),ISNUMBER(SEARCH("оплата",B17)),ISNUMBER(SEARCH("авито",B17)),ISNUMBER(SEARCH("автомобиля",B17)),ISNUMBER(SEARCH("колес",B17))),"Мошенничество при покупке/услугах",IF(OR(ISNUMBER(SEARCH("продиктовал",B17)),ISNUMBER(SEARCH("смс код",B17)),ISNUMBER(SEARCH("бот псб",B17)),ISNUMBER(SEARCH("мессенджер",B17))),"Социальная инженерия (коды/мессенджеры)",IF(OR(ISNUMBER(SEARCH("неправомерный доступ",B17)),ISNUMBER(SEARCH("ст. 272",#REF!))),"Неправомерный доступ (ст.272)",IF(OR(ISNUMBER(SEARCH("вымогательство",B17)),ISNUMBER(SEARCH("ст. 163",#REF!))),"Вымогательство","Прочие виды"))))))</f>
        <v>Прочие виды</v>
      </c>
      <c r="H17" s="16">
        <v>0</v>
      </c>
      <c r="I17" s="8">
        <v>26840</v>
      </c>
      <c r="J17" s="7" t="s">
        <v>102</v>
      </c>
      <c r="K17" s="15">
        <v>296000</v>
      </c>
    </row>
    <row r="18" spans="1:11" ht="26.4">
      <c r="A18" s="5" t="s">
        <v>12</v>
      </c>
      <c r="B18" s="6">
        <v>46049</v>
      </c>
      <c r="C18" s="5" t="s">
        <v>63</v>
      </c>
      <c r="D18">
        <v>444</v>
      </c>
      <c r="E18" s="1" t="str">
        <f t="shared" si="1"/>
        <v xml:space="preserve">7.01.2026 </v>
      </c>
      <c r="F18" s="5" t="s">
        <v>94</v>
      </c>
      <c r="G18" s="5" t="str">
        <f t="shared" ref="G18:G59" si="17">IF(OR(ISNUMBER(SEARCH("кража",B18)),ISNUMBER(SEARCH("карты",B18)),ISNUMBER(SEARCH("счета",B18))),"Кража с карты/счета",IF(OR(ISNUMBER(SEARCH("безопасный счет",B18)),ISNUMBER(SEARCH("безопасного счета",B18)),ISNUMBER(SEARCH("предотвращения незаконных действий",B18))),"Мошенничество «безопасный счёт»",IF(OR(ISNUMBER(SEARCH("покупк",B18)),ISNUMBER(SEARCH("оплата",B18)),ISNUMBER(SEARCH("авито",B18)),ISNUMBER(SEARCH("автомобиля",B18)),ISNUMBER(SEARCH("колес",B18))),"Мошенничество при покупке/услугах",IF(OR(ISNUMBER(SEARCH("продиктовал",B18)),ISNUMBER(SEARCH("смс код",B18)),ISNUMBER(SEARCH("бот псб",B18)),ISNUMBER(SEARCH("мессенджер",B18))),"Социальная инженерия (коды/мессенджеры)",IF(OR(ISNUMBER(SEARCH("неправомерный доступ",B18)),ISNUMBER(SEARCH("ст. 272",#REF!))),"Неправомерный доступ (ст.272)",IF(OR(ISNUMBER(SEARCH("вымогательство",B18)),ISNUMBER(SEARCH("ст. 163",#REF!))),"Вымогательство","Прочие виды"))))))</f>
        <v>Прочие виды</v>
      </c>
      <c r="H18" s="16">
        <v>1</v>
      </c>
      <c r="I18" s="6">
        <v>31388</v>
      </c>
      <c r="J18" s="5" t="s">
        <v>102</v>
      </c>
      <c r="K18" s="14">
        <v>249000</v>
      </c>
    </row>
    <row r="19" spans="1:11" ht="26.4">
      <c r="A19" s="7" t="s">
        <v>13</v>
      </c>
      <c r="B19" s="8">
        <v>46049</v>
      </c>
      <c r="C19" s="7" t="s">
        <v>64</v>
      </c>
      <c r="D19">
        <v>238</v>
      </c>
      <c r="E19" s="1" t="str">
        <f t="shared" si="1"/>
        <v>27.01.2026</v>
      </c>
      <c r="F19" s="7" t="s">
        <v>41</v>
      </c>
      <c r="G19" s="7" t="str">
        <f t="shared" ref="G19:G59" si="18">IF(OR(ISNUMBER(SEARCH("кража",B19)),ISNUMBER(SEARCH("карты",B19)),ISNUMBER(SEARCH("счета",B19))),"Кража с карты/счета",IF(OR(ISNUMBER(SEARCH("безопасный счет",B19)),ISNUMBER(SEARCH("безопасного счета",B19)),ISNUMBER(SEARCH("предотвращения незаконных действий",B19))),"Мошенничество «безопасный счёт»",IF(OR(ISNUMBER(SEARCH("покупк",B19)),ISNUMBER(SEARCH("оплата",B19)),ISNUMBER(SEARCH("авито",B19)),ISNUMBER(SEARCH("автомобиля",B19)),ISNUMBER(SEARCH("колес",B19))),"Мошенничество при покупке/услугах",IF(OR(ISNUMBER(SEARCH("продиктовал",B19)),ISNUMBER(SEARCH("смс код",B19)),ISNUMBER(SEARCH("бот псб",B19)),ISNUMBER(SEARCH("мессенджер",B19))),"Социальная инженерия (коды/мессенджеры)",IF(OR(ISNUMBER(SEARCH("неправомерный доступ",B19)),ISNUMBER(SEARCH("ст. 272",#REF!))),"Неправомерный доступ (ст.272)",IF(OR(ISNUMBER(SEARCH("вымогательство",B19)),ISNUMBER(SEARCH("ст. 163",#REF!))),"Вымогательство","Прочие виды"))))))</f>
        <v>Прочие виды</v>
      </c>
      <c r="H19" s="16">
        <v>0</v>
      </c>
      <c r="I19" s="8">
        <v>33510</v>
      </c>
      <c r="J19" s="7" t="s">
        <v>102</v>
      </c>
      <c r="K19" s="15">
        <v>31000</v>
      </c>
    </row>
    <row r="20" spans="1:11" ht="26.4">
      <c r="A20" s="11" t="s">
        <v>18</v>
      </c>
      <c r="B20" s="12">
        <v>46049</v>
      </c>
      <c r="C20" s="11" t="s">
        <v>65</v>
      </c>
      <c r="D20">
        <v>128</v>
      </c>
      <c r="E20" s="1" t="str">
        <f t="shared" si="1"/>
        <v>27.01.2026</v>
      </c>
      <c r="F20" s="11" t="s">
        <v>42</v>
      </c>
      <c r="G20" s="5" t="str">
        <f t="shared" ref="G20:G59" si="19">IF(OR(ISNUMBER(SEARCH("кража",B20)),ISNUMBER(SEARCH("карты",B20)),ISNUMBER(SEARCH("счета",B20))),"Кража с карты/счета",IF(OR(ISNUMBER(SEARCH("безопасный счет",B20)),ISNUMBER(SEARCH("безопасного счета",B20)),ISNUMBER(SEARCH("предотвращения незаконных действий",B20))),"Мошенничество «безопасный счёт»",IF(OR(ISNUMBER(SEARCH("покупк",B20)),ISNUMBER(SEARCH("оплата",B20)),ISNUMBER(SEARCH("авито",B20)),ISNUMBER(SEARCH("автомобиля",B20)),ISNUMBER(SEARCH("колес",B20))),"Мошенничество при покупке/услугах",IF(OR(ISNUMBER(SEARCH("продиктовал",B20)),ISNUMBER(SEARCH("смс код",B20)),ISNUMBER(SEARCH("бот псб",B20)),ISNUMBER(SEARCH("мессенджер",B20))),"Социальная инженерия (коды/мессенджеры)",IF(OR(ISNUMBER(SEARCH("неправомерный доступ",B20)),ISNUMBER(SEARCH("ст. 272",#REF!))),"Неправомерный доступ (ст.272)",IF(OR(ISNUMBER(SEARCH("вымогательство",B20)),ISNUMBER(SEARCH("ст. 163",#REF!))),"Вымогательство","Прочие виды"))))))</f>
        <v>Прочие виды</v>
      </c>
      <c r="H20" s="16">
        <v>0</v>
      </c>
      <c r="I20" s="12">
        <v>36812</v>
      </c>
      <c r="J20" s="5" t="s">
        <v>103</v>
      </c>
      <c r="K20" s="14">
        <v>198000</v>
      </c>
    </row>
    <row r="21" spans="1:11" ht="26.4">
      <c r="A21" s="9" t="s">
        <v>12</v>
      </c>
      <c r="B21" s="10">
        <v>46049</v>
      </c>
      <c r="C21" s="9" t="s">
        <v>66</v>
      </c>
      <c r="D21">
        <v>458</v>
      </c>
      <c r="E21" s="1" t="str">
        <f t="shared" si="1"/>
        <v>27.01.2026</v>
      </c>
      <c r="F21" s="9"/>
      <c r="G21" s="7" t="str">
        <f t="shared" ref="G21:G59" si="20">IF(OR(ISNUMBER(SEARCH("кража",B21)),ISNUMBER(SEARCH("карты",B21)),ISNUMBER(SEARCH("счета",B21))),"Кража с карты/счета",IF(OR(ISNUMBER(SEARCH("безопасный счет",B21)),ISNUMBER(SEARCH("безопасного счета",B21)),ISNUMBER(SEARCH("предотвращения незаконных действий",B21))),"Мошенничество «безопасный счёт»",IF(OR(ISNUMBER(SEARCH("покупк",B21)),ISNUMBER(SEARCH("оплата",B21)),ISNUMBER(SEARCH("авито",B21)),ISNUMBER(SEARCH("автомобиля",B21)),ISNUMBER(SEARCH("колес",B21))),"Мошенничество при покупке/услугах",IF(OR(ISNUMBER(SEARCH("продиктовал",B21)),ISNUMBER(SEARCH("смс код",B21)),ISNUMBER(SEARCH("бот псб",B21)),ISNUMBER(SEARCH("мессенджер",B21))),"Социальная инженерия (коды/мессенджеры)",IF(OR(ISNUMBER(SEARCH("неправомерный доступ",B21)),ISNUMBER(SEARCH("ст. 272",#REF!))),"Неправомерный доступ (ст.272)",IF(OR(ISNUMBER(SEARCH("вымогательство",B21)),ISNUMBER(SEARCH("ст. 163",#REF!))),"Вымогательство","Прочие виды"))))))</f>
        <v>Прочие виды</v>
      </c>
      <c r="H21" s="16">
        <v>1</v>
      </c>
      <c r="I21" s="10">
        <v>31487</v>
      </c>
      <c r="J21" s="7" t="s">
        <v>105</v>
      </c>
      <c r="K21" s="15">
        <v>4200</v>
      </c>
    </row>
    <row r="22" spans="1:11" ht="26.4">
      <c r="A22" s="5" t="s">
        <v>13</v>
      </c>
      <c r="B22" s="6">
        <v>46051</v>
      </c>
      <c r="C22" s="5" t="s">
        <v>67</v>
      </c>
      <c r="D22">
        <v>252</v>
      </c>
      <c r="E22" s="1" t="str">
        <f t="shared" si="1"/>
        <v>29.01.2026</v>
      </c>
      <c r="F22" s="5" t="s">
        <v>41</v>
      </c>
      <c r="G22" s="5" t="str">
        <f t="shared" ref="G22:G59" si="21">IF(OR(ISNUMBER(SEARCH("кража",B22)),ISNUMBER(SEARCH("карты",B22)),ISNUMBER(SEARCH("счета",B22))),"Кража с карты/счета",IF(OR(ISNUMBER(SEARCH("безопасный счет",B22)),ISNUMBER(SEARCH("безопасного счета",B22)),ISNUMBER(SEARCH("предотвращения незаконных действий",B22))),"Мошенничество «безопасный счёт»",IF(OR(ISNUMBER(SEARCH("покупк",B22)),ISNUMBER(SEARCH("оплата",B22)),ISNUMBER(SEARCH("авито",B22)),ISNUMBER(SEARCH("автомобиля",B22)),ISNUMBER(SEARCH("колес",B22))),"Мошенничество при покупке/услугах",IF(OR(ISNUMBER(SEARCH("продиктовал",B22)),ISNUMBER(SEARCH("смс код",B22)),ISNUMBER(SEARCH("бот псб",B22)),ISNUMBER(SEARCH("мессенджер",B22))),"Социальная инженерия (коды/мессенджеры)",IF(OR(ISNUMBER(SEARCH("неправомерный доступ",B22)),ISNUMBER(SEARCH("ст. 272",#REF!))),"Неправомерный доступ (ст.272)",IF(OR(ISNUMBER(SEARCH("вымогательство",B22)),ISNUMBER(SEARCH("ст. 163",#REF!))),"Вымогательство","Прочие виды"))))))</f>
        <v>Прочие виды</v>
      </c>
      <c r="H22" s="16">
        <v>1</v>
      </c>
      <c r="I22" s="6">
        <v>25068</v>
      </c>
      <c r="J22" s="5" t="s">
        <v>105</v>
      </c>
      <c r="K22" s="14">
        <v>50000</v>
      </c>
    </row>
    <row r="23" spans="1:11" ht="26.4">
      <c r="A23" s="9" t="s">
        <v>12</v>
      </c>
      <c r="B23" s="10">
        <v>46051</v>
      </c>
      <c r="C23" s="9" t="s">
        <v>68</v>
      </c>
      <c r="D23">
        <v>487</v>
      </c>
      <c r="E23" s="1" t="str">
        <f t="shared" si="1"/>
        <v>28.01.2026</v>
      </c>
      <c r="F23" s="9" t="s">
        <v>97</v>
      </c>
      <c r="G23" s="7" t="str">
        <f t="shared" ref="G23:G59" si="22">IF(OR(ISNUMBER(SEARCH("кража",B23)),ISNUMBER(SEARCH("карты",B23)),ISNUMBER(SEARCH("счета",B23))),"Кража с карты/счета",IF(OR(ISNUMBER(SEARCH("безопасный счет",B23)),ISNUMBER(SEARCH("безопасного счета",B23)),ISNUMBER(SEARCH("предотвращения незаконных действий",B23))),"Мошенничество «безопасный счёт»",IF(OR(ISNUMBER(SEARCH("покупк",B23)),ISNUMBER(SEARCH("оплата",B23)),ISNUMBER(SEARCH("авито",B23)),ISNUMBER(SEARCH("автомобиля",B23)),ISNUMBER(SEARCH("колес",B23))),"Мошенничество при покупке/услугах",IF(OR(ISNUMBER(SEARCH("продиктовал",B23)),ISNUMBER(SEARCH("смс код",B23)),ISNUMBER(SEARCH("бот псб",B23)),ISNUMBER(SEARCH("мессенджер",B23))),"Социальная инженерия (коды/мессенджеры)",IF(OR(ISNUMBER(SEARCH("неправомерный доступ",B23)),ISNUMBER(SEARCH("ст. 272",#REF!))),"Неправомерный доступ (ст.272)",IF(OR(ISNUMBER(SEARCH("вымогательство",B23)),ISNUMBER(SEARCH("ст. 163",#REF!))),"Вымогательство","Прочие виды"))))))</f>
        <v>Прочие виды</v>
      </c>
      <c r="H23" s="16">
        <v>1</v>
      </c>
      <c r="I23" s="10">
        <v>23640</v>
      </c>
      <c r="J23" s="7" t="s">
        <v>102</v>
      </c>
      <c r="K23" s="15">
        <v>63000</v>
      </c>
    </row>
    <row r="24" spans="1:11" ht="26.4">
      <c r="A24" s="11" t="s">
        <v>14</v>
      </c>
      <c r="B24" s="12">
        <v>46051</v>
      </c>
      <c r="C24" s="11" t="s">
        <v>69</v>
      </c>
      <c r="D24">
        <v>234</v>
      </c>
      <c r="E24" s="1" t="str">
        <f t="shared" si="1"/>
        <v>29.01.2026</v>
      </c>
      <c r="F24" s="11" t="s">
        <v>42</v>
      </c>
      <c r="G24" s="5" t="str">
        <f t="shared" ref="G24:G59" si="23">IF(OR(ISNUMBER(SEARCH("кража",B24)),ISNUMBER(SEARCH("карты",B24)),ISNUMBER(SEARCH("счета",B24))),"Кража с карты/счета",IF(OR(ISNUMBER(SEARCH("безопасный счет",B24)),ISNUMBER(SEARCH("безопасного счета",B24)),ISNUMBER(SEARCH("предотвращения незаконных действий",B24))),"Мошенничество «безопасный счёт»",IF(OR(ISNUMBER(SEARCH("покупк",B24)),ISNUMBER(SEARCH("оплата",B24)),ISNUMBER(SEARCH("авито",B24)),ISNUMBER(SEARCH("автомобиля",B24)),ISNUMBER(SEARCH("колес",B24))),"Мошенничество при покупке/услугах",IF(OR(ISNUMBER(SEARCH("продиктовал",B24)),ISNUMBER(SEARCH("смс код",B24)),ISNUMBER(SEARCH("бот псб",B24)),ISNUMBER(SEARCH("мессенджер",B24))),"Социальная инженерия (коды/мессенджеры)",IF(OR(ISNUMBER(SEARCH("неправомерный доступ",B24)),ISNUMBER(SEARCH("ст. 272",#REF!))),"Неправомерный доступ (ст.272)",IF(OR(ISNUMBER(SEARCH("вымогательство",B24)),ISNUMBER(SEARCH("ст. 163",#REF!))),"Вымогательство","Прочие виды"))))))</f>
        <v>Прочие виды</v>
      </c>
      <c r="H24" s="16">
        <v>1</v>
      </c>
      <c r="I24" s="12">
        <v>18848</v>
      </c>
      <c r="J24" s="5" t="s">
        <v>104</v>
      </c>
      <c r="K24" s="14">
        <v>6720</v>
      </c>
    </row>
    <row r="25" spans="1:11" ht="26.4">
      <c r="A25" s="9" t="s">
        <v>13</v>
      </c>
      <c r="B25" s="10">
        <v>46051</v>
      </c>
      <c r="C25" s="9" t="s">
        <v>70</v>
      </c>
      <c r="D25">
        <v>251</v>
      </c>
      <c r="E25" s="1" t="str">
        <f t="shared" si="1"/>
        <v>29.01.2026</v>
      </c>
      <c r="F25" s="9" t="s">
        <v>42</v>
      </c>
      <c r="G25" s="7" t="str">
        <f t="shared" ref="G25:G59" si="24">IF(OR(ISNUMBER(SEARCH("кража",B25)),ISNUMBER(SEARCH("карты",B25)),ISNUMBER(SEARCH("счета",B25))),"Кража с карты/счета",IF(OR(ISNUMBER(SEARCH("безопасный счет",B25)),ISNUMBER(SEARCH("безопасного счета",B25)),ISNUMBER(SEARCH("предотвращения незаконных действий",B25))),"Мошенничество «безопасный счёт»",IF(OR(ISNUMBER(SEARCH("покупк",B25)),ISNUMBER(SEARCH("оплата",B25)),ISNUMBER(SEARCH("авито",B25)),ISNUMBER(SEARCH("автомобиля",B25)),ISNUMBER(SEARCH("колес",B25))),"Мошенничество при покупке/услугах",IF(OR(ISNUMBER(SEARCH("продиктовал",B25)),ISNUMBER(SEARCH("смс код",B25)),ISNUMBER(SEARCH("бот псб",B25)),ISNUMBER(SEARCH("мессенджер",B25))),"Социальная инженерия (коды/мессенджеры)",IF(OR(ISNUMBER(SEARCH("неправомерный доступ",B25)),ISNUMBER(SEARCH("ст. 272",#REF!))),"Неправомерный доступ (ст.272)",IF(OR(ISNUMBER(SEARCH("вымогательство",B25)),ISNUMBER(SEARCH("ст. 163",#REF!))),"Вымогательство","Прочие виды"))))))</f>
        <v>Прочие виды</v>
      </c>
      <c r="H25" s="16">
        <v>1</v>
      </c>
      <c r="I25" s="10">
        <v>25068</v>
      </c>
      <c r="J25" s="7" t="s">
        <v>102</v>
      </c>
      <c r="K25" s="15">
        <v>63000</v>
      </c>
    </row>
    <row r="26" spans="1:11" ht="26.4">
      <c r="A26" s="11" t="s">
        <v>14</v>
      </c>
      <c r="B26" s="12">
        <v>46051</v>
      </c>
      <c r="C26" s="11" t="s">
        <v>71</v>
      </c>
      <c r="D26">
        <v>233</v>
      </c>
      <c r="E26" s="1" t="str">
        <f t="shared" si="1"/>
        <v>.01.2026 г</v>
      </c>
      <c r="F26" s="11" t="s">
        <v>42</v>
      </c>
      <c r="G26" s="5" t="str">
        <f t="shared" ref="G26:G59" si="25">IF(OR(ISNUMBER(SEARCH("кража",B26)),ISNUMBER(SEARCH("карты",B26)),ISNUMBER(SEARCH("счета",B26))),"Кража с карты/счета",IF(OR(ISNUMBER(SEARCH("безопасный счет",B26)),ISNUMBER(SEARCH("безопасного счета",B26)),ISNUMBER(SEARCH("предотвращения незаконных действий",B26))),"Мошенничество «безопасный счёт»",IF(OR(ISNUMBER(SEARCH("покупк",B26)),ISNUMBER(SEARCH("оплата",B26)),ISNUMBER(SEARCH("авито",B26)),ISNUMBER(SEARCH("автомобиля",B26)),ISNUMBER(SEARCH("колес",B26))),"Мошенничество при покупке/услугах",IF(OR(ISNUMBER(SEARCH("продиктовал",B26)),ISNUMBER(SEARCH("смс код",B26)),ISNUMBER(SEARCH("бот псб",B26)),ISNUMBER(SEARCH("мессенджер",B26))),"Социальная инженерия (коды/мессенджеры)",IF(OR(ISNUMBER(SEARCH("неправомерный доступ",B26)),ISNUMBER(SEARCH("ст. 272",#REF!))),"Неправомерный доступ (ст.272)",IF(OR(ISNUMBER(SEARCH("вымогательство",B26)),ISNUMBER(SEARCH("ст. 163",#REF!))),"Вымогательство","Прочие виды"))))))</f>
        <v>Прочие виды</v>
      </c>
      <c r="H26" s="16">
        <v>1</v>
      </c>
      <c r="I26" s="12">
        <v>18848</v>
      </c>
      <c r="J26" s="5" t="s">
        <v>102</v>
      </c>
      <c r="K26" s="14">
        <v>135000</v>
      </c>
    </row>
    <row r="27" spans="1:11" ht="26.4">
      <c r="A27" s="7" t="s">
        <v>19</v>
      </c>
      <c r="B27" s="8">
        <v>46052</v>
      </c>
      <c r="C27" s="7" t="s">
        <v>72</v>
      </c>
      <c r="D27">
        <v>141</v>
      </c>
      <c r="E27" s="1" t="str">
        <f t="shared" si="1"/>
        <v>30.01.2026</v>
      </c>
      <c r="F27" s="7" t="s">
        <v>98</v>
      </c>
      <c r="G27" s="7" t="str">
        <f t="shared" ref="G27:G59" si="26">IF(OR(ISNUMBER(SEARCH("кража",B27)),ISNUMBER(SEARCH("карты",B27)),ISNUMBER(SEARCH("счета",B27))),"Кража с карты/счета",IF(OR(ISNUMBER(SEARCH("безопасный счет",B27)),ISNUMBER(SEARCH("безопасного счета",B27)),ISNUMBER(SEARCH("предотвращения незаконных действий",B27))),"Мошенничество «безопасный счёт»",IF(OR(ISNUMBER(SEARCH("покупк",B27)),ISNUMBER(SEARCH("оплата",B27)),ISNUMBER(SEARCH("авито",B27)),ISNUMBER(SEARCH("автомобиля",B27)),ISNUMBER(SEARCH("колес",B27))),"Мошенничество при покупке/услугах",IF(OR(ISNUMBER(SEARCH("продиктовал",B27)),ISNUMBER(SEARCH("смс код",B27)),ISNUMBER(SEARCH("бот псб",B27)),ISNUMBER(SEARCH("мессенджер",B27))),"Социальная инженерия (коды/мессенджеры)",IF(OR(ISNUMBER(SEARCH("неправомерный доступ",B27)),ISNUMBER(SEARCH("ст. 272",#REF!))),"Неправомерный доступ (ст.272)",IF(OR(ISNUMBER(SEARCH("вымогательство",B27)),ISNUMBER(SEARCH("ст. 163",#REF!))),"Вымогательство","Прочие виды"))))))</f>
        <v>Прочие виды</v>
      </c>
      <c r="H27" s="16">
        <v>1</v>
      </c>
      <c r="I27" s="8">
        <v>22439</v>
      </c>
      <c r="J27" s="7" t="s">
        <v>102</v>
      </c>
      <c r="K27" s="15">
        <v>50000</v>
      </c>
    </row>
    <row r="28" spans="1:11" ht="26.4">
      <c r="A28" s="5" t="s">
        <v>12</v>
      </c>
      <c r="B28" s="6">
        <v>46052</v>
      </c>
      <c r="C28" s="5" t="s">
        <v>73</v>
      </c>
      <c r="D28">
        <v>527</v>
      </c>
      <c r="E28" s="1" t="str">
        <f t="shared" si="1"/>
        <v xml:space="preserve">.01.2026. </v>
      </c>
      <c r="F28" s="5" t="s">
        <v>93</v>
      </c>
      <c r="G28" s="5" t="str">
        <f t="shared" ref="G28:G59" si="27">IF(OR(ISNUMBER(SEARCH("кража",B28)),ISNUMBER(SEARCH("карты",B28)),ISNUMBER(SEARCH("счета",B28))),"Кража с карты/счета",IF(OR(ISNUMBER(SEARCH("безопасный счет",B28)),ISNUMBER(SEARCH("безопасного счета",B28)),ISNUMBER(SEARCH("предотвращения незаконных действий",B28))),"Мошенничество «безопасный счёт»",IF(OR(ISNUMBER(SEARCH("покупк",B28)),ISNUMBER(SEARCH("оплата",B28)),ISNUMBER(SEARCH("авито",B28)),ISNUMBER(SEARCH("автомобиля",B28)),ISNUMBER(SEARCH("колес",B28))),"Мошенничество при покупке/услугах",IF(OR(ISNUMBER(SEARCH("продиктовал",B28)),ISNUMBER(SEARCH("смс код",B28)),ISNUMBER(SEARCH("бот псб",B28)),ISNUMBER(SEARCH("мессенджер",B28))),"Социальная инженерия (коды/мессенджеры)",IF(OR(ISNUMBER(SEARCH("неправомерный доступ",B28)),ISNUMBER(SEARCH("ст. 272",#REF!))),"Неправомерный доступ (ст.272)",IF(OR(ISNUMBER(SEARCH("вымогательство",B28)),ISNUMBER(SEARCH("ст. 163",#REF!))),"Вымогательство","Прочие виды"))))))</f>
        <v>Прочие виды</v>
      </c>
      <c r="H28" s="16">
        <v>0</v>
      </c>
      <c r="I28" s="6">
        <v>27484</v>
      </c>
      <c r="J28" s="5" t="s">
        <v>102</v>
      </c>
      <c r="K28" s="14">
        <v>107500</v>
      </c>
    </row>
    <row r="29" spans="1:11" ht="26.4">
      <c r="A29" s="9" t="s">
        <v>13</v>
      </c>
      <c r="B29" s="10">
        <v>46057</v>
      </c>
      <c r="C29" s="9" t="s">
        <v>74</v>
      </c>
      <c r="D29">
        <v>316</v>
      </c>
      <c r="E29" s="1" t="str">
        <f t="shared" si="1"/>
        <v xml:space="preserve">4.02.2026 </v>
      </c>
      <c r="F29" s="9" t="s">
        <v>97</v>
      </c>
      <c r="G29" s="7" t="str">
        <f t="shared" ref="G29:G59" si="28">IF(OR(ISNUMBER(SEARCH("кража",B29)),ISNUMBER(SEARCH("карты",B29)),ISNUMBER(SEARCH("счета",B29))),"Кража с карты/счета",IF(OR(ISNUMBER(SEARCH("безопасный счет",B29)),ISNUMBER(SEARCH("безопасного счета",B29)),ISNUMBER(SEARCH("предотвращения незаконных действий",B29))),"Мошенничество «безопасный счёт»",IF(OR(ISNUMBER(SEARCH("покупк",B29)),ISNUMBER(SEARCH("оплата",B29)),ISNUMBER(SEARCH("авито",B29)),ISNUMBER(SEARCH("автомобиля",B29)),ISNUMBER(SEARCH("колес",B29))),"Мошенничество при покупке/услугах",IF(OR(ISNUMBER(SEARCH("продиктовал",B29)),ISNUMBER(SEARCH("смс код",B29)),ISNUMBER(SEARCH("бот псб",B29)),ISNUMBER(SEARCH("мессенджер",B29))),"Социальная инженерия (коды/мессенджеры)",IF(OR(ISNUMBER(SEARCH("неправомерный доступ",B29)),ISNUMBER(SEARCH("ст. 272",#REF!))),"Неправомерный доступ (ст.272)",IF(OR(ISNUMBER(SEARCH("вымогательство",B29)),ISNUMBER(SEARCH("ст. 163",#REF!))),"Вымогательство","Прочие виды"))))))</f>
        <v>Прочие виды</v>
      </c>
      <c r="H29" s="16">
        <v>1</v>
      </c>
      <c r="I29" s="10">
        <v>20483</v>
      </c>
      <c r="J29" s="7" t="s">
        <v>102</v>
      </c>
      <c r="K29" s="15">
        <v>121000</v>
      </c>
    </row>
    <row r="30" spans="1:11" ht="26.4">
      <c r="A30" s="11" t="s">
        <v>12</v>
      </c>
      <c r="B30" s="12">
        <v>46060</v>
      </c>
      <c r="C30" s="11" t="s">
        <v>75</v>
      </c>
      <c r="D30">
        <v>677</v>
      </c>
      <c r="E30" s="1" t="str">
        <f t="shared" si="1"/>
        <v>07.02.2026</v>
      </c>
      <c r="F30" s="5" t="s">
        <v>41</v>
      </c>
      <c r="G30" s="5" t="str">
        <f t="shared" ref="G30:G59" si="29">IF(OR(ISNUMBER(SEARCH("кража",B30)),ISNUMBER(SEARCH("карты",B30)),ISNUMBER(SEARCH("счета",B30))),"Кража с карты/счета",IF(OR(ISNUMBER(SEARCH("безопасный счет",B30)),ISNUMBER(SEARCH("безопасного счета",B30)),ISNUMBER(SEARCH("предотвращения незаконных действий",B30))),"Мошенничество «безопасный счёт»",IF(OR(ISNUMBER(SEARCH("покупк",B30)),ISNUMBER(SEARCH("оплата",B30)),ISNUMBER(SEARCH("авито",B30)),ISNUMBER(SEARCH("автомобиля",B30)),ISNUMBER(SEARCH("колес",B30))),"Мошенничество при покупке/услугах",IF(OR(ISNUMBER(SEARCH("продиктовал",B30)),ISNUMBER(SEARCH("смс код",B30)),ISNUMBER(SEARCH("бот псб",B30)),ISNUMBER(SEARCH("мессенджер",B30))),"Социальная инженерия (коды/мессенджеры)",IF(OR(ISNUMBER(SEARCH("неправомерный доступ",B30)),ISNUMBER(SEARCH("ст. 272",#REF!))),"Неправомерный доступ (ст.272)",IF(OR(ISNUMBER(SEARCH("вымогательство",B30)),ISNUMBER(SEARCH("ст. 163",#REF!))),"Вымогательство","Прочие виды"))))))</f>
        <v>Прочие виды</v>
      </c>
      <c r="H30" s="16">
        <v>1</v>
      </c>
      <c r="I30" s="12">
        <v>35123</v>
      </c>
      <c r="J30" s="5" t="s">
        <v>102</v>
      </c>
      <c r="K30" s="14">
        <v>176500</v>
      </c>
    </row>
    <row r="31" spans="1:11" ht="26.4">
      <c r="A31" s="9" t="s">
        <v>19</v>
      </c>
      <c r="B31" s="10">
        <v>46060</v>
      </c>
      <c r="C31" s="9" t="s">
        <v>76</v>
      </c>
      <c r="D31">
        <v>179</v>
      </c>
      <c r="E31" s="1" t="str">
        <f t="shared" si="1"/>
        <v>07.02.2026</v>
      </c>
      <c r="F31" s="7" t="s">
        <v>41</v>
      </c>
      <c r="G31" s="7" t="str">
        <f t="shared" ref="G31:G59" si="30">IF(OR(ISNUMBER(SEARCH("кража",B31)),ISNUMBER(SEARCH("карты",B31)),ISNUMBER(SEARCH("счета",B31))),"Кража с карты/счета",IF(OR(ISNUMBER(SEARCH("безопасный счет",B31)),ISNUMBER(SEARCH("безопасного счета",B31)),ISNUMBER(SEARCH("предотвращения незаконных действий",B31))),"Мошенничество «безопасный счёт»",IF(OR(ISNUMBER(SEARCH("покупк",B31)),ISNUMBER(SEARCH("оплата",B31)),ISNUMBER(SEARCH("авито",B31)),ISNUMBER(SEARCH("автомобиля",B31)),ISNUMBER(SEARCH("колес",B31))),"Мошенничество при покупке/услугах",IF(OR(ISNUMBER(SEARCH("продиктовал",B31)),ISNUMBER(SEARCH("смс код",B31)),ISNUMBER(SEARCH("бот псб",B31)),ISNUMBER(SEARCH("мессенджер",B31))),"Социальная инженерия (коды/мессенджеры)",IF(OR(ISNUMBER(SEARCH("неправомерный доступ",B31)),ISNUMBER(SEARCH("ст. 272",#REF!))),"Неправомерный доступ (ст.272)",IF(OR(ISNUMBER(SEARCH("вымогательство",B31)),ISNUMBER(SEARCH("ст. 163",#REF!))),"Вымогательство","Прочие виды"))))))</f>
        <v>Прочие виды</v>
      </c>
      <c r="H31" s="16">
        <v>1</v>
      </c>
      <c r="I31" s="10">
        <v>31250</v>
      </c>
      <c r="J31" s="7" t="s">
        <v>102</v>
      </c>
      <c r="K31" s="15">
        <v>89000</v>
      </c>
    </row>
    <row r="32" spans="1:11" ht="26.4">
      <c r="A32" s="11" t="s">
        <v>20</v>
      </c>
      <c r="B32" s="12">
        <v>46060</v>
      </c>
      <c r="C32" s="11" t="s">
        <v>77</v>
      </c>
      <c r="D32">
        <v>112</v>
      </c>
      <c r="E32" s="1" t="str">
        <f t="shared" si="1"/>
        <v xml:space="preserve">7.02.2026 </v>
      </c>
      <c r="F32" s="5" t="s">
        <v>41</v>
      </c>
      <c r="G32" s="5" t="str">
        <f t="shared" ref="G32:G59" si="31">IF(OR(ISNUMBER(SEARCH("кража",B32)),ISNUMBER(SEARCH("карты",B32)),ISNUMBER(SEARCH("счета",B32))),"Кража с карты/счета",IF(OR(ISNUMBER(SEARCH("безопасный счет",B32)),ISNUMBER(SEARCH("безопасного счета",B32)),ISNUMBER(SEARCH("предотвращения незаконных действий",B32))),"Мошенничество «безопасный счёт»",IF(OR(ISNUMBER(SEARCH("покупк",B32)),ISNUMBER(SEARCH("оплата",B32)),ISNUMBER(SEARCH("авито",B32)),ISNUMBER(SEARCH("автомобиля",B32)),ISNUMBER(SEARCH("колес",B32))),"Мошенничество при покупке/услугах",IF(OR(ISNUMBER(SEARCH("продиктовал",B32)),ISNUMBER(SEARCH("смс код",B32)),ISNUMBER(SEARCH("бот псб",B32)),ISNUMBER(SEARCH("мессенджер",B32))),"Социальная инженерия (коды/мессенджеры)",IF(OR(ISNUMBER(SEARCH("неправомерный доступ",B32)),ISNUMBER(SEARCH("ст. 272",#REF!))),"Неправомерный доступ (ст.272)",IF(OR(ISNUMBER(SEARCH("вымогательство",B32)),ISNUMBER(SEARCH("ст. 163",#REF!))),"Вымогательство","Прочие виды"))))))</f>
        <v>Прочие виды</v>
      </c>
      <c r="H32" s="16">
        <v>1</v>
      </c>
      <c r="I32" s="12">
        <v>29706</v>
      </c>
      <c r="J32" s="5" t="s">
        <v>102</v>
      </c>
      <c r="K32" s="14">
        <v>700000</v>
      </c>
    </row>
    <row r="33" spans="1:11" ht="26.4">
      <c r="A33" s="9" t="s">
        <v>12</v>
      </c>
      <c r="B33" s="10">
        <v>46063</v>
      </c>
      <c r="C33" s="9" t="s">
        <v>78</v>
      </c>
      <c r="D33">
        <v>728</v>
      </c>
      <c r="E33" s="1" t="str">
        <f t="shared" si="1"/>
        <v>10.02.2026</v>
      </c>
      <c r="F33" s="9"/>
      <c r="G33" s="7" t="str">
        <f t="shared" ref="G33:G59" si="32">IF(OR(ISNUMBER(SEARCH("кража",B33)),ISNUMBER(SEARCH("карты",B33)),ISNUMBER(SEARCH("счета",B33))),"Кража с карты/счета",IF(OR(ISNUMBER(SEARCH("безопасный счет",B33)),ISNUMBER(SEARCH("безопасного счета",B33)),ISNUMBER(SEARCH("предотвращения незаконных действий",B33))),"Мошенничество «безопасный счёт»",IF(OR(ISNUMBER(SEARCH("покупк",B33)),ISNUMBER(SEARCH("оплата",B33)),ISNUMBER(SEARCH("авито",B33)),ISNUMBER(SEARCH("автомобиля",B33)),ISNUMBER(SEARCH("колес",B33))),"Мошенничество при покупке/услугах",IF(OR(ISNUMBER(SEARCH("продиктовал",B33)),ISNUMBER(SEARCH("смс код",B33)),ISNUMBER(SEARCH("бот псб",B33)),ISNUMBER(SEARCH("мессенджер",B33))),"Социальная инженерия (коды/мессенджеры)",IF(OR(ISNUMBER(SEARCH("неправомерный доступ",B33)),ISNUMBER(SEARCH("ст. 272",#REF!))),"Неправомерный доступ (ст.272)",IF(OR(ISNUMBER(SEARCH("вымогательство",B33)),ISNUMBER(SEARCH("ст. 163",#REF!))),"Вымогательство","Прочие виды"))))))</f>
        <v>Прочие виды</v>
      </c>
      <c r="H33" s="16">
        <v>0</v>
      </c>
      <c r="I33" s="10">
        <v>38639</v>
      </c>
      <c r="J33" s="7" t="s">
        <v>103</v>
      </c>
      <c r="K33" s="15">
        <v>35000</v>
      </c>
    </row>
    <row r="34" spans="1:11" ht="26.4">
      <c r="A34" s="11" t="s">
        <v>21</v>
      </c>
      <c r="B34" s="12">
        <v>46065</v>
      </c>
      <c r="C34" s="11" t="s">
        <v>79</v>
      </c>
      <c r="D34">
        <v>226</v>
      </c>
      <c r="E34" s="1" t="str">
        <f t="shared" si="1"/>
        <v>12.02.2026</v>
      </c>
      <c r="F34" s="5" t="s">
        <v>41</v>
      </c>
      <c r="G34" s="5" t="str">
        <f t="shared" ref="G34:G59" si="33">IF(OR(ISNUMBER(SEARCH("кража",B34)),ISNUMBER(SEARCH("карты",B34)),ISNUMBER(SEARCH("счета",B34))),"Кража с карты/счета",IF(OR(ISNUMBER(SEARCH("безопасный счет",B34)),ISNUMBER(SEARCH("безопасного счета",B34)),ISNUMBER(SEARCH("предотвращения незаконных действий",B34))),"Мошенничество «безопасный счёт»",IF(OR(ISNUMBER(SEARCH("покупк",B34)),ISNUMBER(SEARCH("оплата",B34)),ISNUMBER(SEARCH("авито",B34)),ISNUMBER(SEARCH("автомобиля",B34)),ISNUMBER(SEARCH("колес",B34))),"Мошенничество при покупке/услугах",IF(OR(ISNUMBER(SEARCH("продиктовал",B34)),ISNUMBER(SEARCH("смс код",B34)),ISNUMBER(SEARCH("бот псб",B34)),ISNUMBER(SEARCH("мессенджер",B34))),"Социальная инженерия (коды/мессенджеры)",IF(OR(ISNUMBER(SEARCH("неправомерный доступ",B34)),ISNUMBER(SEARCH("ст. 272",#REF!))),"Неправомерный доступ (ст.272)",IF(OR(ISNUMBER(SEARCH("вымогательство",B34)),ISNUMBER(SEARCH("ст. 163",#REF!))),"Вымогательство","Прочие виды"))))))</f>
        <v>Прочие виды</v>
      </c>
      <c r="H34" s="16">
        <v>1</v>
      </c>
      <c r="I34" s="12">
        <v>21567</v>
      </c>
      <c r="J34" s="5" t="s">
        <v>102</v>
      </c>
      <c r="K34" s="14">
        <v>14600</v>
      </c>
    </row>
    <row r="35" spans="1:11" ht="26.4">
      <c r="A35" s="9" t="s">
        <v>22</v>
      </c>
      <c r="B35" s="10">
        <v>46067</v>
      </c>
      <c r="C35" s="9" t="s">
        <v>80</v>
      </c>
      <c r="D35">
        <v>408</v>
      </c>
      <c r="E35" s="1" t="str">
        <f t="shared" si="1"/>
        <v>14.02.2026</v>
      </c>
      <c r="F35" s="7" t="s">
        <v>41</v>
      </c>
      <c r="G35" s="7" t="str">
        <f t="shared" ref="G35:G59" si="34">IF(OR(ISNUMBER(SEARCH("кража",B35)),ISNUMBER(SEARCH("карты",B35)),ISNUMBER(SEARCH("счета",B35))),"Кража с карты/счета",IF(OR(ISNUMBER(SEARCH("безопасный счет",B35)),ISNUMBER(SEARCH("безопасного счета",B35)),ISNUMBER(SEARCH("предотвращения незаконных действий",B35))),"Мошенничество «безопасный счёт»",IF(OR(ISNUMBER(SEARCH("покупк",B35)),ISNUMBER(SEARCH("оплата",B35)),ISNUMBER(SEARCH("авито",B35)),ISNUMBER(SEARCH("автомобиля",B35)),ISNUMBER(SEARCH("колес",B35))),"Мошенничество при покупке/услугах",IF(OR(ISNUMBER(SEARCH("продиктовал",B35)),ISNUMBER(SEARCH("смс код",B35)),ISNUMBER(SEARCH("бот псб",B35)),ISNUMBER(SEARCH("мессенджер",B35))),"Социальная инженерия (коды/мессенджеры)",IF(OR(ISNUMBER(SEARCH("неправомерный доступ",B35)),ISNUMBER(SEARCH("ст. 272",#REF!))),"Неправомерный доступ (ст.272)",IF(OR(ISNUMBER(SEARCH("вымогательство",B35)),ISNUMBER(SEARCH("ст. 163",#REF!))),"Вымогательство","Прочие виды"))))))</f>
        <v>Прочие виды</v>
      </c>
      <c r="H35" s="16">
        <v>0</v>
      </c>
      <c r="I35" s="10">
        <v>28675</v>
      </c>
      <c r="J35" s="7" t="s">
        <v>102</v>
      </c>
      <c r="K35" s="15">
        <v>16000</v>
      </c>
    </row>
    <row r="36" spans="1:11" ht="26.4">
      <c r="A36" s="11" t="s">
        <v>13</v>
      </c>
      <c r="B36" s="12">
        <v>46067</v>
      </c>
      <c r="C36" s="11" t="s">
        <v>81</v>
      </c>
      <c r="D36">
        <v>447</v>
      </c>
      <c r="E36" s="1" t="str">
        <f t="shared" si="1"/>
        <v>14.02.2026</v>
      </c>
      <c r="F36" s="11" t="s">
        <v>99</v>
      </c>
      <c r="G36" s="5" t="str">
        <f t="shared" ref="G36:G59" si="35">IF(OR(ISNUMBER(SEARCH("кража",B36)),ISNUMBER(SEARCH("карты",B36)),ISNUMBER(SEARCH("счета",B36))),"Кража с карты/счета",IF(OR(ISNUMBER(SEARCH("безопасный счет",B36)),ISNUMBER(SEARCH("безопасного счета",B36)),ISNUMBER(SEARCH("предотвращения незаконных действий",B36))),"Мошенничество «безопасный счёт»",IF(OR(ISNUMBER(SEARCH("покупк",B36)),ISNUMBER(SEARCH("оплата",B36)),ISNUMBER(SEARCH("авито",B36)),ISNUMBER(SEARCH("автомобиля",B36)),ISNUMBER(SEARCH("колес",B36))),"Мошенничество при покупке/услугах",IF(OR(ISNUMBER(SEARCH("продиктовал",B36)),ISNUMBER(SEARCH("смс код",B36)),ISNUMBER(SEARCH("бот псб",B36)),ISNUMBER(SEARCH("мессенджер",B36))),"Социальная инженерия (коды/мессенджеры)",IF(OR(ISNUMBER(SEARCH("неправомерный доступ",B36)),ISNUMBER(SEARCH("ст. 272",#REF!))),"Неправомерный доступ (ст.272)",IF(OR(ISNUMBER(SEARCH("вымогательство",B36)),ISNUMBER(SEARCH("ст. 163",#REF!))),"Вымогательство","Прочие виды"))))))</f>
        <v>Прочие виды</v>
      </c>
      <c r="H36" s="16">
        <v>0</v>
      </c>
      <c r="I36" s="12">
        <v>33797</v>
      </c>
      <c r="J36" s="5" t="s">
        <v>106</v>
      </c>
      <c r="K36" s="14">
        <v>20000</v>
      </c>
    </row>
    <row r="37" spans="1:11" ht="26.4">
      <c r="A37" s="9" t="s">
        <v>13</v>
      </c>
      <c r="B37" s="10">
        <v>46067</v>
      </c>
      <c r="C37" s="9" t="s">
        <v>82</v>
      </c>
      <c r="D37">
        <v>445</v>
      </c>
      <c r="E37" s="1" t="str">
        <f t="shared" si="1"/>
        <v>14.02.2026</v>
      </c>
      <c r="F37" s="9" t="s">
        <v>100</v>
      </c>
      <c r="G37" s="7" t="str">
        <f t="shared" ref="G37:G59" si="36">IF(OR(ISNUMBER(SEARCH("кража",B37)),ISNUMBER(SEARCH("карты",B37)),ISNUMBER(SEARCH("счета",B37))),"Кража с карты/счета",IF(OR(ISNUMBER(SEARCH("безопасный счет",B37)),ISNUMBER(SEARCH("безопасного счета",B37)),ISNUMBER(SEARCH("предотвращения незаконных действий",B37))),"Мошенничество «безопасный счёт»",IF(OR(ISNUMBER(SEARCH("покупк",B37)),ISNUMBER(SEARCH("оплата",B37)),ISNUMBER(SEARCH("авито",B37)),ISNUMBER(SEARCH("автомобиля",B37)),ISNUMBER(SEARCH("колес",B37))),"Мошенничество при покупке/услугах",IF(OR(ISNUMBER(SEARCH("продиктовал",B37)),ISNUMBER(SEARCH("смс код",B37)),ISNUMBER(SEARCH("бот псб",B37)),ISNUMBER(SEARCH("мессенджер",B37))),"Социальная инженерия (коды/мессенджеры)",IF(OR(ISNUMBER(SEARCH("неправомерный доступ",B37)),ISNUMBER(SEARCH("ст. 272",#REF!))),"Неправомерный доступ (ст.272)",IF(OR(ISNUMBER(SEARCH("вымогательство",B37)),ISNUMBER(SEARCH("ст. 163",#REF!))),"Вымогательство","Прочие виды"))))))</f>
        <v>Прочие виды</v>
      </c>
      <c r="H37" s="16">
        <v>0</v>
      </c>
      <c r="I37" s="10">
        <v>35201</v>
      </c>
      <c r="J37" s="7" t="s">
        <v>105</v>
      </c>
      <c r="K37" s="15">
        <v>79000</v>
      </c>
    </row>
    <row r="38" spans="1:11" ht="26.4">
      <c r="A38" s="11" t="s">
        <v>15</v>
      </c>
      <c r="B38" s="12">
        <v>46067</v>
      </c>
      <c r="C38" s="11" t="s">
        <v>83</v>
      </c>
      <c r="D38">
        <v>448</v>
      </c>
      <c r="E38" s="1" t="str">
        <f t="shared" si="1"/>
        <v xml:space="preserve">02.2026   </v>
      </c>
      <c r="F38" s="11" t="s">
        <v>42</v>
      </c>
      <c r="G38" s="5" t="str">
        <f t="shared" ref="G38:G59" si="37">IF(OR(ISNUMBER(SEARCH("кража",B38)),ISNUMBER(SEARCH("карты",B38)),ISNUMBER(SEARCH("счета",B38))),"Кража с карты/счета",IF(OR(ISNUMBER(SEARCH("безопасный счет",B38)),ISNUMBER(SEARCH("безопасного счета",B38)),ISNUMBER(SEARCH("предотвращения незаконных действий",B38))),"Мошенничество «безопасный счёт»",IF(OR(ISNUMBER(SEARCH("покупк",B38)),ISNUMBER(SEARCH("оплата",B38)),ISNUMBER(SEARCH("авито",B38)),ISNUMBER(SEARCH("автомобиля",B38)),ISNUMBER(SEARCH("колес",B38))),"Мошенничество при покупке/услугах",IF(OR(ISNUMBER(SEARCH("продиктовал",B38)),ISNUMBER(SEARCH("смс код",B38)),ISNUMBER(SEARCH("бот псб",B38)),ISNUMBER(SEARCH("мессенджер",B38))),"Социальная инженерия (коды/мессенджеры)",IF(OR(ISNUMBER(SEARCH("неправомерный доступ",B38)),ISNUMBER(SEARCH("ст. 272",#REF!))),"Неправомерный доступ (ст.272)",IF(OR(ISNUMBER(SEARCH("вымогательство",B38)),ISNUMBER(SEARCH("ст. 163",#REF!))),"Вымогательство","Прочие виды"))))))</f>
        <v>Прочие виды</v>
      </c>
      <c r="H38" s="16">
        <v>1</v>
      </c>
      <c r="I38" s="12">
        <v>36733</v>
      </c>
      <c r="J38" s="5" t="s">
        <v>105</v>
      </c>
      <c r="K38" s="14">
        <v>220000</v>
      </c>
    </row>
    <row r="39" spans="1:11" ht="26.4">
      <c r="A39" s="9" t="s">
        <v>23</v>
      </c>
      <c r="B39" s="10">
        <v>46069</v>
      </c>
      <c r="C39" s="9" t="s">
        <v>84</v>
      </c>
      <c r="D39">
        <v>428</v>
      </c>
      <c r="E39" s="1" t="str">
        <f t="shared" si="1"/>
        <v>16.02.2026</v>
      </c>
      <c r="F39" s="9"/>
      <c r="G39" s="7" t="str">
        <f t="shared" ref="G39:G59" si="38">IF(OR(ISNUMBER(SEARCH("кража",B39)),ISNUMBER(SEARCH("карты",B39)),ISNUMBER(SEARCH("счета",B39))),"Кража с карты/счета",IF(OR(ISNUMBER(SEARCH("безопасный счет",B39)),ISNUMBER(SEARCH("безопасного счета",B39)),ISNUMBER(SEARCH("предотвращения незаконных действий",B39))),"Мошенничество «безопасный счёт»",IF(OR(ISNUMBER(SEARCH("покупк",B39)),ISNUMBER(SEARCH("оплата",B39)),ISNUMBER(SEARCH("авито",B39)),ISNUMBER(SEARCH("автомобиля",B39)),ISNUMBER(SEARCH("колес",B39))),"Мошенничество при покупке/услугах",IF(OR(ISNUMBER(SEARCH("продиктовал",B39)),ISNUMBER(SEARCH("смс код",B39)),ISNUMBER(SEARCH("бот псб",B39)),ISNUMBER(SEARCH("мессенджер",B39))),"Социальная инженерия (коды/мессенджеры)",IF(OR(ISNUMBER(SEARCH("неправомерный доступ",B39)),ISNUMBER(SEARCH("ст. 272",#REF!))),"Неправомерный доступ (ст.272)",IF(OR(ISNUMBER(SEARCH("вымогательство",B39)),ISNUMBER(SEARCH("ст. 163",#REF!))),"Вымогательство","Прочие виды"))))))</f>
        <v>Прочие виды</v>
      </c>
      <c r="H39" s="16">
        <v>1</v>
      </c>
      <c r="I39" s="10">
        <v>19964</v>
      </c>
      <c r="J39" s="7" t="s">
        <v>104</v>
      </c>
      <c r="K39" s="15">
        <v>5000</v>
      </c>
    </row>
    <row r="40" spans="1:11" ht="26.4">
      <c r="A40" s="11" t="s">
        <v>24</v>
      </c>
      <c r="B40" s="12">
        <v>46069</v>
      </c>
      <c r="C40" s="11" t="s">
        <v>85</v>
      </c>
      <c r="D40">
        <v>236</v>
      </c>
      <c r="E40" s="1" t="str">
        <f t="shared" si="1"/>
        <v>16.02.2026</v>
      </c>
      <c r="F40" s="11"/>
      <c r="G40" s="5" t="str">
        <f t="shared" ref="G40:G59" si="39">IF(OR(ISNUMBER(SEARCH("кража",B40)),ISNUMBER(SEARCH("карты",B40)),ISNUMBER(SEARCH("счета",B40))),"Кража с карты/счета",IF(OR(ISNUMBER(SEARCH("безопасный счет",B40)),ISNUMBER(SEARCH("безопасного счета",B40)),ISNUMBER(SEARCH("предотвращения незаконных действий",B40))),"Мошенничество «безопасный счёт»",IF(OR(ISNUMBER(SEARCH("покупк",B40)),ISNUMBER(SEARCH("оплата",B40)),ISNUMBER(SEARCH("авито",B40)),ISNUMBER(SEARCH("автомобиля",B40)),ISNUMBER(SEARCH("колес",B40))),"Мошенничество при покупке/услугах",IF(OR(ISNUMBER(SEARCH("продиктовал",B40)),ISNUMBER(SEARCH("смс код",B40)),ISNUMBER(SEARCH("бот псб",B40)),ISNUMBER(SEARCH("мессенджер",B40))),"Социальная инженерия (коды/мессенджеры)",IF(OR(ISNUMBER(SEARCH("неправомерный доступ",B40)),ISNUMBER(SEARCH("ст. 272",#REF!))),"Неправомерный доступ (ст.272)",IF(OR(ISNUMBER(SEARCH("вымогательство",B40)),ISNUMBER(SEARCH("ст. 163",#REF!))),"Вымогательство","Прочие виды"))))))</f>
        <v>Прочие виды</v>
      </c>
      <c r="H40" s="16">
        <v>0</v>
      </c>
      <c r="I40" s="12">
        <v>24161</v>
      </c>
      <c r="J40" s="5" t="s">
        <v>102</v>
      </c>
      <c r="K40" s="14">
        <v>12600</v>
      </c>
    </row>
    <row r="41" spans="1:11" ht="26.4">
      <c r="A41" s="9" t="s">
        <v>12</v>
      </c>
      <c r="B41" s="10">
        <v>46069</v>
      </c>
      <c r="C41" s="9" t="s">
        <v>86</v>
      </c>
      <c r="D41">
        <v>874</v>
      </c>
      <c r="E41" s="1" t="str">
        <f t="shared" si="1"/>
        <v>16.02.2026</v>
      </c>
      <c r="F41" s="9"/>
      <c r="G41" s="7" t="str">
        <f t="shared" ref="G41:G59" si="40">IF(OR(ISNUMBER(SEARCH("кража",B41)),ISNUMBER(SEARCH("карты",B41)),ISNUMBER(SEARCH("счета",B41))),"Кража с карты/счета",IF(OR(ISNUMBER(SEARCH("безопасный счет",B41)),ISNUMBER(SEARCH("безопасного счета",B41)),ISNUMBER(SEARCH("предотвращения незаконных действий",B41))),"Мошенничество «безопасный счёт»",IF(OR(ISNUMBER(SEARCH("покупк",B41)),ISNUMBER(SEARCH("оплата",B41)),ISNUMBER(SEARCH("авито",B41)),ISNUMBER(SEARCH("автомобиля",B41)),ISNUMBER(SEARCH("колес",B41))),"Мошенничество при покупке/услугах",IF(OR(ISNUMBER(SEARCH("продиктовал",B41)),ISNUMBER(SEARCH("смс код",B41)),ISNUMBER(SEARCH("бот псб",B41)),ISNUMBER(SEARCH("мессенджер",B41))),"Социальная инженерия (коды/мессенджеры)",IF(OR(ISNUMBER(SEARCH("неправомерный доступ",B41)),ISNUMBER(SEARCH("ст. 272",#REF!))),"Неправомерный доступ (ст.272)",IF(OR(ISNUMBER(SEARCH("вымогательство",B41)),ISNUMBER(SEARCH("ст. 163",#REF!))),"Вымогательство","Прочие виды"))))))</f>
        <v>Прочие виды</v>
      </c>
      <c r="H41" s="16">
        <v>1</v>
      </c>
      <c r="I41" s="10">
        <v>29835</v>
      </c>
      <c r="J41" s="7" t="s">
        <v>102</v>
      </c>
      <c r="K41" s="15">
        <v>43000</v>
      </c>
    </row>
    <row r="42" spans="1:11" ht="26.4">
      <c r="A42" s="11" t="s">
        <v>13</v>
      </c>
      <c r="B42" s="12">
        <v>46072</v>
      </c>
      <c r="C42" s="11" t="s">
        <v>87</v>
      </c>
      <c r="D42">
        <v>540</v>
      </c>
      <c r="E42" s="1" t="str">
        <f t="shared" si="1"/>
        <v>19.02.2026</v>
      </c>
      <c r="F42" s="11" t="s">
        <v>101</v>
      </c>
      <c r="G42" s="5" t="str">
        <f t="shared" ref="G42:G59" si="41">IF(OR(ISNUMBER(SEARCH("кража",B42)),ISNUMBER(SEARCH("карты",B42)),ISNUMBER(SEARCH("счета",B42))),"Кража с карты/счета",IF(OR(ISNUMBER(SEARCH("безопасный счет",B42)),ISNUMBER(SEARCH("безопасного счета",B42)),ISNUMBER(SEARCH("предотвращения незаконных действий",B42))),"Мошенничество «безопасный счёт»",IF(OR(ISNUMBER(SEARCH("покупк",B42)),ISNUMBER(SEARCH("оплата",B42)),ISNUMBER(SEARCH("авито",B42)),ISNUMBER(SEARCH("автомобиля",B42)),ISNUMBER(SEARCH("колес",B42))),"Мошенничество при покупке/услугах",IF(OR(ISNUMBER(SEARCH("продиктовал",B42)),ISNUMBER(SEARCH("смс код",B42)),ISNUMBER(SEARCH("бот псб",B42)),ISNUMBER(SEARCH("мессенджер",B42))),"Социальная инженерия (коды/мессенджеры)",IF(OR(ISNUMBER(SEARCH("неправомерный доступ",B42)),ISNUMBER(SEARCH("ст. 272",#REF!))),"Неправомерный доступ (ст.272)",IF(OR(ISNUMBER(SEARCH("вымогательство",B42)),ISNUMBER(SEARCH("ст. 163",#REF!))),"Вымогательство","Прочие виды"))))))</f>
        <v>Прочие виды</v>
      </c>
      <c r="H42" s="16">
        <v>1</v>
      </c>
      <c r="I42" s="12">
        <v>20299</v>
      </c>
      <c r="J42" s="5" t="s">
        <v>103</v>
      </c>
      <c r="K42" s="14">
        <v>23000</v>
      </c>
    </row>
    <row r="43" spans="1:11" ht="26.4">
      <c r="A43" s="9" t="s">
        <v>12</v>
      </c>
      <c r="B43" s="10">
        <v>46077</v>
      </c>
      <c r="C43" s="9" t="s">
        <v>88</v>
      </c>
      <c r="D43">
        <v>1025</v>
      </c>
      <c r="E43" s="1" t="str">
        <f t="shared" si="1"/>
        <v>24.02.2026</v>
      </c>
      <c r="F43" s="7" t="s">
        <v>41</v>
      </c>
      <c r="G43" s="7" t="str">
        <f t="shared" ref="G43:G59" si="42">IF(OR(ISNUMBER(SEARCH("кража",B43)),ISNUMBER(SEARCH("карты",B43)),ISNUMBER(SEARCH("счета",B43))),"Кража с карты/счета",IF(OR(ISNUMBER(SEARCH("безопасный счет",B43)),ISNUMBER(SEARCH("безопасного счета",B43)),ISNUMBER(SEARCH("предотвращения незаконных действий",B43))),"Мошенничество «безопасный счёт»",IF(OR(ISNUMBER(SEARCH("покупк",B43)),ISNUMBER(SEARCH("оплата",B43)),ISNUMBER(SEARCH("авито",B43)),ISNUMBER(SEARCH("автомобиля",B43)),ISNUMBER(SEARCH("колес",B43))),"Мошенничество при покупке/услугах",IF(OR(ISNUMBER(SEARCH("продиктовал",B43)),ISNUMBER(SEARCH("смс код",B43)),ISNUMBER(SEARCH("бот псб",B43)),ISNUMBER(SEARCH("мессенджер",B43))),"Социальная инженерия (коды/мессенджеры)",IF(OR(ISNUMBER(SEARCH("неправомерный доступ",B43)),ISNUMBER(SEARCH("ст. 272",#REF!))),"Неправомерный доступ (ст.272)",IF(OR(ISNUMBER(SEARCH("вымогательство",B43)),ISNUMBER(SEARCH("ст. 163",#REF!))),"Вымогательство","Прочие виды"))))))</f>
        <v>Прочие виды</v>
      </c>
      <c r="H43" s="16">
        <v>1</v>
      </c>
      <c r="I43" s="10">
        <v>27978</v>
      </c>
      <c r="J43" s="7" t="s">
        <v>102</v>
      </c>
      <c r="K43" s="15">
        <v>44000</v>
      </c>
    </row>
    <row r="44" spans="1:11" ht="26.4">
      <c r="A44" s="11" t="s">
        <v>13</v>
      </c>
      <c r="B44" s="12">
        <v>46077</v>
      </c>
      <c r="C44" s="11" t="s">
        <v>89</v>
      </c>
      <c r="D44">
        <v>549</v>
      </c>
      <c r="E44" s="1" t="str">
        <f t="shared" si="1"/>
        <v>20.02.2026</v>
      </c>
      <c r="F44" s="11" t="s">
        <v>44</v>
      </c>
      <c r="G44" s="5" t="str">
        <f t="shared" ref="G44:G59" si="43">IF(OR(ISNUMBER(SEARCH("кража",B44)),ISNUMBER(SEARCH("карты",B44)),ISNUMBER(SEARCH("счета",B44))),"Кража с карты/счета",IF(OR(ISNUMBER(SEARCH("безопасный счет",B44)),ISNUMBER(SEARCH("безопасного счета",B44)),ISNUMBER(SEARCH("предотвращения незаконных действий",B44))),"Мошенничество «безопасный счёт»",IF(OR(ISNUMBER(SEARCH("покупк",B44)),ISNUMBER(SEARCH("оплата",B44)),ISNUMBER(SEARCH("авито",B44)),ISNUMBER(SEARCH("автомобиля",B44)),ISNUMBER(SEARCH("колес",B44))),"Мошенничество при покупке/услугах",IF(OR(ISNUMBER(SEARCH("продиктовал",B44)),ISNUMBER(SEARCH("смс код",B44)),ISNUMBER(SEARCH("бот псб",B44)),ISNUMBER(SEARCH("мессенджер",B44))),"Социальная инженерия (коды/мессенджеры)",IF(OR(ISNUMBER(SEARCH("неправомерный доступ",B44)),ISNUMBER(SEARCH("ст. 272",#REF!))),"Неправомерный доступ (ст.272)",IF(OR(ISNUMBER(SEARCH("вымогательство",B44)),ISNUMBER(SEARCH("ст. 163",#REF!))),"Вымогательство","Прочие виды"))))))</f>
        <v>Прочие виды</v>
      </c>
      <c r="H44" s="16">
        <v>1</v>
      </c>
      <c r="I44" s="12">
        <v>37655</v>
      </c>
      <c r="J44" s="5" t="s">
        <v>107</v>
      </c>
      <c r="K44" s="14">
        <v>1000000</v>
      </c>
    </row>
    <row r="45" spans="1:11" ht="26.4">
      <c r="A45" s="9" t="s">
        <v>14</v>
      </c>
      <c r="B45" s="10">
        <v>46080</v>
      </c>
      <c r="C45" s="9" t="s">
        <v>90</v>
      </c>
      <c r="D45">
        <v>472</v>
      </c>
      <c r="E45" s="1" t="str">
        <f t="shared" si="1"/>
        <v>27.02.2026</v>
      </c>
      <c r="F45" s="7" t="s">
        <v>41</v>
      </c>
      <c r="G45" s="7" t="str">
        <f t="shared" ref="G45:G59" si="44">IF(OR(ISNUMBER(SEARCH("кража",B45)),ISNUMBER(SEARCH("карты",B45)),ISNUMBER(SEARCH("счета",B45))),"Кража с карты/счета",IF(OR(ISNUMBER(SEARCH("безопасный счет",B45)),ISNUMBER(SEARCH("безопасного счета",B45)),ISNUMBER(SEARCH("предотвращения незаконных действий",B45))),"Мошенничество «безопасный счёт»",IF(OR(ISNUMBER(SEARCH("покупк",B45)),ISNUMBER(SEARCH("оплата",B45)),ISNUMBER(SEARCH("авито",B45)),ISNUMBER(SEARCH("автомобиля",B45)),ISNUMBER(SEARCH("колес",B45))),"Мошенничество при покупке/услугах",IF(OR(ISNUMBER(SEARCH("продиктовал",B45)),ISNUMBER(SEARCH("смс код",B45)),ISNUMBER(SEARCH("бот псб",B45)),ISNUMBER(SEARCH("мессенджер",B45))),"Социальная инженерия (коды/мессенджеры)",IF(OR(ISNUMBER(SEARCH("неправомерный доступ",B45)),ISNUMBER(SEARCH("ст. 272",#REF!))),"Неправомерный доступ (ст.272)",IF(OR(ISNUMBER(SEARCH("вымогательство",B45)),ISNUMBER(SEARCH("ст. 163",#REF!))),"Вымогательство","Прочие виды"))))))</f>
        <v>Прочие виды</v>
      </c>
      <c r="H45" s="16">
        <v>1</v>
      </c>
      <c r="I45" s="10">
        <v>33091</v>
      </c>
      <c r="J45" s="7" t="s">
        <v>102</v>
      </c>
      <c r="K45" s="15">
        <v>497000</v>
      </c>
    </row>
    <row r="46" spans="1:11" ht="26.4">
      <c r="A46" s="11" t="s">
        <v>12</v>
      </c>
      <c r="B46" s="12">
        <v>46082</v>
      </c>
      <c r="C46" s="11" t="s">
        <v>91</v>
      </c>
      <c r="D46">
        <v>1133</v>
      </c>
      <c r="E46" s="1" t="str">
        <f t="shared" si="1"/>
        <v>01.03.2026</v>
      </c>
      <c r="F46" s="5" t="s">
        <v>41</v>
      </c>
      <c r="G46" s="5" t="str">
        <f t="shared" ref="G46:G59" si="45">IF(OR(ISNUMBER(SEARCH("кража",B46)),ISNUMBER(SEARCH("карты",B46)),ISNUMBER(SEARCH("счета",B46))),"Кража с карты/счета",IF(OR(ISNUMBER(SEARCH("безопасный счет",B46)),ISNUMBER(SEARCH("безопасного счета",B46)),ISNUMBER(SEARCH("предотвращения незаконных действий",B46))),"Мошенничество «безопасный счёт»",IF(OR(ISNUMBER(SEARCH("покупк",B46)),ISNUMBER(SEARCH("оплата",B46)),ISNUMBER(SEARCH("авито",B46)),ISNUMBER(SEARCH("автомобиля",B46)),ISNUMBER(SEARCH("колес",B46))),"Мошенничество при покупке/услугах",IF(OR(ISNUMBER(SEARCH("продиктовал",B46)),ISNUMBER(SEARCH("смс код",B46)),ISNUMBER(SEARCH("бот псб",B46)),ISNUMBER(SEARCH("мессенджер",B46))),"Социальная инженерия (коды/мессенджеры)",IF(OR(ISNUMBER(SEARCH("неправомерный доступ",B46)),ISNUMBER(SEARCH("ст. 272",#REF!))),"Неправомерный доступ (ст.272)",IF(OR(ISNUMBER(SEARCH("вымогательство",B46)),ISNUMBER(SEARCH("ст. 163",#REF!))),"Вымогательство","Прочие виды"))))))</f>
        <v>Прочие виды</v>
      </c>
      <c r="H46" s="16">
        <v>1</v>
      </c>
      <c r="I46" s="12">
        <v>29278</v>
      </c>
      <c r="J46" s="5" t="s">
        <v>102</v>
      </c>
      <c r="K46" s="14">
        <v>50000</v>
      </c>
    </row>
    <row r="47" spans="1:11" ht="26.4">
      <c r="A47" s="9" t="s">
        <v>13</v>
      </c>
      <c r="B47" s="10">
        <v>46083</v>
      </c>
      <c r="C47" s="9" t="s">
        <v>28</v>
      </c>
      <c r="D47">
        <v>659</v>
      </c>
      <c r="E47" s="1" t="str">
        <f t="shared" si="1"/>
        <v>02.03.2026</v>
      </c>
      <c r="F47" s="7" t="s">
        <v>41</v>
      </c>
      <c r="G47" s="7" t="str">
        <f t="shared" ref="G47:G59" si="46">IF(OR(ISNUMBER(SEARCH("кража",B47)),ISNUMBER(SEARCH("карты",B47)),ISNUMBER(SEARCH("счета",B47))),"Кража с карты/счета",IF(OR(ISNUMBER(SEARCH("безопасный счет",B47)),ISNUMBER(SEARCH("безопасного счета",B47)),ISNUMBER(SEARCH("предотвращения незаконных действий",B47))),"Мошенничество «безопасный счёт»",IF(OR(ISNUMBER(SEARCH("покупк",B47)),ISNUMBER(SEARCH("оплата",B47)),ISNUMBER(SEARCH("авито",B47)),ISNUMBER(SEARCH("автомобиля",B47)),ISNUMBER(SEARCH("колес",B47))),"Мошенничество при покупке/услугах",IF(OR(ISNUMBER(SEARCH("продиктовал",B47)),ISNUMBER(SEARCH("смс код",B47)),ISNUMBER(SEARCH("бот псб",B47)),ISNUMBER(SEARCH("мессенджер",B47))),"Социальная инженерия (коды/мессенджеры)",IF(OR(ISNUMBER(SEARCH("неправомерный доступ",B47)),ISNUMBER(SEARCH("ст. 272",#REF!))),"Неправомерный доступ (ст.272)",IF(OR(ISNUMBER(SEARCH("вымогательство",B47)),ISNUMBER(SEARCH("ст. 163",#REF!))),"Вымогательство","Прочие виды"))))))</f>
        <v>Прочие виды</v>
      </c>
      <c r="H47" s="16">
        <v>1</v>
      </c>
      <c r="I47" s="10">
        <v>27618</v>
      </c>
      <c r="J47" s="7" t="s">
        <v>102</v>
      </c>
      <c r="K47" s="15">
        <v>44000</v>
      </c>
    </row>
    <row r="48" spans="1:11" ht="26.4">
      <c r="A48" s="11" t="s">
        <v>25</v>
      </c>
      <c r="B48" s="12">
        <v>46083</v>
      </c>
      <c r="C48" s="11" t="s">
        <v>29</v>
      </c>
      <c r="D48">
        <v>130</v>
      </c>
      <c r="E48" s="1" t="str">
        <f t="shared" si="1"/>
        <v>11.02.2026</v>
      </c>
      <c r="F48" s="11" t="s">
        <v>42</v>
      </c>
      <c r="G48" s="5" t="str">
        <f t="shared" ref="G48:G59" si="47">IF(OR(ISNUMBER(SEARCH("кража",B48)),ISNUMBER(SEARCH("карты",B48)),ISNUMBER(SEARCH("счета",B48))),"Кража с карты/счета",IF(OR(ISNUMBER(SEARCH("безопасный счет",B48)),ISNUMBER(SEARCH("безопасного счета",B48)),ISNUMBER(SEARCH("предотвращения незаконных действий",B48))),"Мошенничество «безопасный счёт»",IF(OR(ISNUMBER(SEARCH("покупк",B48)),ISNUMBER(SEARCH("оплата",B48)),ISNUMBER(SEARCH("авито",B48)),ISNUMBER(SEARCH("автомобиля",B48)),ISNUMBER(SEARCH("колес",B48))),"Мошенничество при покупке/услугах",IF(OR(ISNUMBER(SEARCH("продиктовал",B48)),ISNUMBER(SEARCH("смс код",B48)),ISNUMBER(SEARCH("бот псб",B48)),ISNUMBER(SEARCH("мессенджер",B48))),"Социальная инженерия (коды/мессенджеры)",IF(OR(ISNUMBER(SEARCH("неправомерный доступ",B48)),ISNUMBER(SEARCH("ст. 272",#REF!))),"Неправомерный доступ (ст.272)",IF(OR(ISNUMBER(SEARCH("вымогательство",B48)),ISNUMBER(SEARCH("ст. 163",#REF!))),"Вымогательство","Прочие виды"))))))</f>
        <v>Прочие виды</v>
      </c>
      <c r="H48" s="16">
        <v>1</v>
      </c>
      <c r="I48" s="12">
        <v>20412</v>
      </c>
      <c r="J48" s="5" t="s">
        <v>105</v>
      </c>
      <c r="K48" s="14">
        <v>50000</v>
      </c>
    </row>
    <row r="49" spans="1:11" ht="26.4">
      <c r="A49" s="9" t="s">
        <v>25</v>
      </c>
      <c r="B49" s="10">
        <v>46084</v>
      </c>
      <c r="C49" s="9" t="s">
        <v>30</v>
      </c>
      <c r="D49">
        <v>184</v>
      </c>
      <c r="E49" s="1" t="str">
        <f t="shared" si="1"/>
        <v>03.03.2026</v>
      </c>
      <c r="F49" s="9" t="s">
        <v>43</v>
      </c>
      <c r="G49" s="7" t="str">
        <f t="shared" ref="G49:G59" si="48">IF(OR(ISNUMBER(SEARCH("кража",B49)),ISNUMBER(SEARCH("карты",B49)),ISNUMBER(SEARCH("счета",B49))),"Кража с карты/счета",IF(OR(ISNUMBER(SEARCH("безопасный счет",B49)),ISNUMBER(SEARCH("безопасного счета",B49)),ISNUMBER(SEARCH("предотвращения незаконных действий",B49))),"Мошенничество «безопасный счёт»",IF(OR(ISNUMBER(SEARCH("покупк",B49)),ISNUMBER(SEARCH("оплата",B49)),ISNUMBER(SEARCH("авито",B49)),ISNUMBER(SEARCH("автомобиля",B49)),ISNUMBER(SEARCH("колес",B49))),"Мошенничество при покупке/услугах",IF(OR(ISNUMBER(SEARCH("продиктовал",B49)),ISNUMBER(SEARCH("смс код",B49)),ISNUMBER(SEARCH("бот псб",B49)),ISNUMBER(SEARCH("мессенджер",B49))),"Социальная инженерия (коды/мессенджеры)",IF(OR(ISNUMBER(SEARCH("неправомерный доступ",B49)),ISNUMBER(SEARCH("ст. 272",#REF!))),"Неправомерный доступ (ст.272)",IF(OR(ISNUMBER(SEARCH("вымогательство",B49)),ISNUMBER(SEARCH("ст. 163",#REF!))),"Вымогательство","Прочие виды"))))))</f>
        <v>Прочие виды</v>
      </c>
      <c r="H49" s="16">
        <v>1</v>
      </c>
      <c r="I49" s="10">
        <v>22570</v>
      </c>
      <c r="J49" s="7" t="s">
        <v>105</v>
      </c>
      <c r="K49" s="15">
        <v>3338000</v>
      </c>
    </row>
    <row r="50" spans="1:11" ht="26.4">
      <c r="A50" s="11" t="s">
        <v>26</v>
      </c>
      <c r="B50" s="12">
        <v>46084</v>
      </c>
      <c r="C50" s="11" t="s">
        <v>31</v>
      </c>
      <c r="D50">
        <v>348</v>
      </c>
      <c r="E50" s="1" t="str">
        <f t="shared" si="1"/>
        <v>03.03.2026</v>
      </c>
      <c r="F50" s="5" t="s">
        <v>41</v>
      </c>
      <c r="G50" s="5" t="str">
        <f t="shared" ref="G50:G59" si="49">IF(OR(ISNUMBER(SEARCH("кража",B50)),ISNUMBER(SEARCH("карты",B50)),ISNUMBER(SEARCH("счета",B50))),"Кража с карты/счета",IF(OR(ISNUMBER(SEARCH("безопасный счет",B50)),ISNUMBER(SEARCH("безопасного счета",B50)),ISNUMBER(SEARCH("предотвращения незаконных действий",B50))),"Мошенничество «безопасный счёт»",IF(OR(ISNUMBER(SEARCH("покупк",B50)),ISNUMBER(SEARCH("оплата",B50)),ISNUMBER(SEARCH("авито",B50)),ISNUMBER(SEARCH("автомобиля",B50)),ISNUMBER(SEARCH("колес",B50))),"Мошенничество при покупке/услугах",IF(OR(ISNUMBER(SEARCH("продиктовал",B50)),ISNUMBER(SEARCH("смс код",B50)),ISNUMBER(SEARCH("бот псб",B50)),ISNUMBER(SEARCH("мессенджер",B50))),"Социальная инженерия (коды/мессенджеры)",IF(OR(ISNUMBER(SEARCH("неправомерный доступ",B50)),ISNUMBER(SEARCH("ст. 272",#REF!))),"Неправомерный доступ (ст.272)",IF(OR(ISNUMBER(SEARCH("вымогательство",B50)),ISNUMBER(SEARCH("ст. 163",#REF!))),"Вымогательство","Прочие виды"))))))</f>
        <v>Прочие виды</v>
      </c>
      <c r="H50" s="16">
        <v>1</v>
      </c>
      <c r="I50" s="12">
        <v>33892</v>
      </c>
      <c r="J50" s="5" t="s">
        <v>102</v>
      </c>
      <c r="K50" s="14">
        <v>47100</v>
      </c>
    </row>
    <row r="51" spans="1:11" ht="26.4">
      <c r="A51" s="9" t="s">
        <v>17</v>
      </c>
      <c r="B51" s="10">
        <v>46085</v>
      </c>
      <c r="C51" s="9" t="s">
        <v>32</v>
      </c>
      <c r="D51">
        <v>356</v>
      </c>
      <c r="E51" s="1" t="str">
        <f t="shared" si="1"/>
        <v>04.03.2026</v>
      </c>
      <c r="F51" s="7" t="s">
        <v>41</v>
      </c>
      <c r="G51" s="7" t="str">
        <f t="shared" ref="G51:G59" si="50">IF(OR(ISNUMBER(SEARCH("кража",B51)),ISNUMBER(SEARCH("карты",B51)),ISNUMBER(SEARCH("счета",B51))),"Кража с карты/счета",IF(OR(ISNUMBER(SEARCH("безопасный счет",B51)),ISNUMBER(SEARCH("безопасного счета",B51)),ISNUMBER(SEARCH("предотвращения незаконных действий",B51))),"Мошенничество «безопасный счёт»",IF(OR(ISNUMBER(SEARCH("покупк",B51)),ISNUMBER(SEARCH("оплата",B51)),ISNUMBER(SEARCH("авито",B51)),ISNUMBER(SEARCH("автомобиля",B51)),ISNUMBER(SEARCH("колес",B51))),"Мошенничество при покупке/услугах",IF(OR(ISNUMBER(SEARCH("продиктовал",B51)),ISNUMBER(SEARCH("смс код",B51)),ISNUMBER(SEARCH("бот псб",B51)),ISNUMBER(SEARCH("мессенджер",B51))),"Социальная инженерия (коды/мессенджеры)",IF(OR(ISNUMBER(SEARCH("неправомерный доступ",B51)),ISNUMBER(SEARCH("ст. 272",#REF!))),"Неправомерный доступ (ст.272)",IF(OR(ISNUMBER(SEARCH("вымогательство",B51)),ISNUMBER(SEARCH("ст. 163",#REF!))),"Вымогательство","Прочие виды"))))))</f>
        <v>Прочие виды</v>
      </c>
      <c r="H51" s="16">
        <v>1</v>
      </c>
      <c r="I51" s="10">
        <v>22570</v>
      </c>
      <c r="J51" s="7" t="s">
        <v>102</v>
      </c>
      <c r="K51" s="15">
        <v>12600</v>
      </c>
    </row>
    <row r="52" spans="1:11" ht="26.4">
      <c r="A52" s="11" t="s">
        <v>27</v>
      </c>
      <c r="B52" s="12">
        <v>46085</v>
      </c>
      <c r="C52" s="11" t="s">
        <v>33</v>
      </c>
      <c r="D52">
        <v>689</v>
      </c>
      <c r="E52" s="1" t="str">
        <f t="shared" si="1"/>
        <v>04.03.2026</v>
      </c>
      <c r="F52" s="11" t="s">
        <v>44</v>
      </c>
      <c r="G52" s="5" t="str">
        <f t="shared" ref="G52:G59" si="51">IF(OR(ISNUMBER(SEARCH("кража",B52)),ISNUMBER(SEARCH("карты",B52)),ISNUMBER(SEARCH("счета",B52))),"Кража с карты/счета",IF(OR(ISNUMBER(SEARCH("безопасный счет",B52)),ISNUMBER(SEARCH("безопасного счета",B52)),ISNUMBER(SEARCH("предотвращения незаконных действий",B52))),"Мошенничество «безопасный счёт»",IF(OR(ISNUMBER(SEARCH("покупк",B52)),ISNUMBER(SEARCH("оплата",B52)),ISNUMBER(SEARCH("авито",B52)),ISNUMBER(SEARCH("автомобиля",B52)),ISNUMBER(SEARCH("колес",B52))),"Мошенничество при покупке/услугах",IF(OR(ISNUMBER(SEARCH("продиктовал",B52)),ISNUMBER(SEARCH("смс код",B52)),ISNUMBER(SEARCH("бот псб",B52)),ISNUMBER(SEARCH("мессенджер",B52))),"Социальная инженерия (коды/мессенджеры)",IF(OR(ISNUMBER(SEARCH("неправомерный доступ",B52)),ISNUMBER(SEARCH("ст. 272",#REF!))),"Неправомерный доступ (ст.272)",IF(OR(ISNUMBER(SEARCH("вымогательство",B52)),ISNUMBER(SEARCH("ст. 163",#REF!))),"Вымогательство","Прочие виды"))))))</f>
        <v>Прочие виды</v>
      </c>
      <c r="H52" s="16">
        <v>0</v>
      </c>
      <c r="I52" s="12">
        <v>29930</v>
      </c>
      <c r="J52" s="5" t="s">
        <v>108</v>
      </c>
      <c r="K52" s="14">
        <v>13600</v>
      </c>
    </row>
    <row r="53" spans="1:11" ht="26.4">
      <c r="A53" s="9" t="s">
        <v>27</v>
      </c>
      <c r="B53" s="10">
        <v>46085</v>
      </c>
      <c r="C53" s="9" t="s">
        <v>34</v>
      </c>
      <c r="D53">
        <v>690</v>
      </c>
      <c r="E53" s="1" t="str">
        <f t="shared" si="1"/>
        <v>04.03.2026</v>
      </c>
      <c r="F53" s="9" t="s">
        <v>42</v>
      </c>
      <c r="G53" s="7" t="str">
        <f t="shared" ref="G53:G59" si="52">IF(OR(ISNUMBER(SEARCH("кража",B53)),ISNUMBER(SEARCH("карты",B53)),ISNUMBER(SEARCH("счета",B53))),"Кража с карты/счета",IF(OR(ISNUMBER(SEARCH("безопасный счет",B53)),ISNUMBER(SEARCH("безопасного счета",B53)),ISNUMBER(SEARCH("предотвращения незаконных действий",B53))),"Мошенничество «безопасный счёт»",IF(OR(ISNUMBER(SEARCH("покупк",B53)),ISNUMBER(SEARCH("оплата",B53)),ISNUMBER(SEARCH("авито",B53)),ISNUMBER(SEARCH("автомобиля",B53)),ISNUMBER(SEARCH("колес",B53))),"Мошенничество при покупке/услугах",IF(OR(ISNUMBER(SEARCH("продиктовал",B53)),ISNUMBER(SEARCH("смс код",B53)),ISNUMBER(SEARCH("бот псб",B53)),ISNUMBER(SEARCH("мессенджер",B53))),"Социальная инженерия (коды/мессенджеры)",IF(OR(ISNUMBER(SEARCH("неправомерный доступ",B53)),ISNUMBER(SEARCH("ст. 272",#REF!))),"Неправомерный доступ (ст.272)",IF(OR(ISNUMBER(SEARCH("вымогательство",B53)),ISNUMBER(SEARCH("ст. 163",#REF!))),"Вымогательство","Прочие виды"))))))</f>
        <v>Прочие виды</v>
      </c>
      <c r="H53" s="16">
        <v>0</v>
      </c>
      <c r="I53" s="10">
        <v>26571</v>
      </c>
      <c r="J53" s="7" t="s">
        <v>102</v>
      </c>
      <c r="K53" s="15">
        <v>2700</v>
      </c>
    </row>
    <row r="54" spans="1:11" ht="26.4">
      <c r="A54" s="11" t="s">
        <v>12</v>
      </c>
      <c r="B54" s="12">
        <v>46086</v>
      </c>
      <c r="C54" s="11" t="s">
        <v>35</v>
      </c>
      <c r="D54">
        <v>1219</v>
      </c>
      <c r="E54" s="1" t="str">
        <f t="shared" si="1"/>
        <v>05.03.2026</v>
      </c>
      <c r="F54" s="11" t="s">
        <v>45</v>
      </c>
      <c r="G54" s="5" t="str">
        <f t="shared" ref="G54:G59" si="53">IF(OR(ISNUMBER(SEARCH("кража",B54)),ISNUMBER(SEARCH("карты",B54)),ISNUMBER(SEARCH("счета",B54))),"Кража с карты/счета",IF(OR(ISNUMBER(SEARCH("безопасный счет",B54)),ISNUMBER(SEARCH("безопасного счета",B54)),ISNUMBER(SEARCH("предотвращения незаконных действий",B54))),"Мошенничество «безопасный счёт»",IF(OR(ISNUMBER(SEARCH("покупк",B54)),ISNUMBER(SEARCH("оплата",B54)),ISNUMBER(SEARCH("авито",B54)),ISNUMBER(SEARCH("автомобиля",B54)),ISNUMBER(SEARCH("колес",B54))),"Мошенничество при покупке/услугах",IF(OR(ISNUMBER(SEARCH("продиктовал",B54)),ISNUMBER(SEARCH("смс код",B54)),ISNUMBER(SEARCH("бот псб",B54)),ISNUMBER(SEARCH("мессенджер",B54))),"Социальная инженерия (коды/мессенджеры)",IF(OR(ISNUMBER(SEARCH("неправомерный доступ",B54)),ISNUMBER(SEARCH("ст. 272",#REF!))),"Неправомерный доступ (ст.272)",IF(OR(ISNUMBER(SEARCH("вымогательство",B54)),ISNUMBER(SEARCH("ст. 163",#REF!))),"Вымогательство","Прочие виды"))))))</f>
        <v>Прочие виды</v>
      </c>
      <c r="H54" s="16">
        <v>1</v>
      </c>
      <c r="I54" s="12">
        <v>37318</v>
      </c>
      <c r="J54" s="5" t="s">
        <v>105</v>
      </c>
      <c r="K54" s="14">
        <v>100000</v>
      </c>
    </row>
    <row r="55" spans="1:11" ht="26.4">
      <c r="A55" s="9" t="s">
        <v>13</v>
      </c>
      <c r="B55" s="10">
        <v>46088</v>
      </c>
      <c r="C55" s="9" t="s">
        <v>36</v>
      </c>
      <c r="D55">
        <v>742</v>
      </c>
      <c r="E55" s="1" t="str">
        <f t="shared" si="1"/>
        <v>07.03.2026</v>
      </c>
      <c r="F55" s="7" t="s">
        <v>41</v>
      </c>
      <c r="G55" s="7" t="str">
        <f t="shared" ref="G55:G59" si="54">IF(OR(ISNUMBER(SEARCH("кража",B55)),ISNUMBER(SEARCH("карты",B55)),ISNUMBER(SEARCH("счета",B55))),"Кража с карты/счета",IF(OR(ISNUMBER(SEARCH("безопасный счет",B55)),ISNUMBER(SEARCH("безопасного счета",B55)),ISNUMBER(SEARCH("предотвращения незаконных действий",B55))),"Мошенничество «безопасный счёт»",IF(OR(ISNUMBER(SEARCH("покупк",B55)),ISNUMBER(SEARCH("оплата",B55)),ISNUMBER(SEARCH("авито",B55)),ISNUMBER(SEARCH("автомобиля",B55)),ISNUMBER(SEARCH("колес",B55))),"Мошенничество при покупке/услугах",IF(OR(ISNUMBER(SEARCH("продиктовал",B55)),ISNUMBER(SEARCH("смс код",B55)),ISNUMBER(SEARCH("бот псб",B55)),ISNUMBER(SEARCH("мессенджер",B55))),"Социальная инженерия (коды/мессенджеры)",IF(OR(ISNUMBER(SEARCH("неправомерный доступ",B55)),ISNUMBER(SEARCH("ст. 272",#REF!))),"Неправомерный доступ (ст.272)",IF(OR(ISNUMBER(SEARCH("вымогательство",B55)),ISNUMBER(SEARCH("ст. 163",#REF!))),"Вымогательство","Прочие виды"))))))</f>
        <v>Прочие виды</v>
      </c>
      <c r="H55" s="16">
        <v>0</v>
      </c>
      <c r="I55" s="10">
        <v>20241</v>
      </c>
      <c r="J55" s="7" t="s">
        <v>102</v>
      </c>
      <c r="K55" s="15">
        <v>218000</v>
      </c>
    </row>
    <row r="56" spans="1:11" ht="26.4">
      <c r="A56" s="11" t="s">
        <v>20</v>
      </c>
      <c r="B56" s="12">
        <v>46091</v>
      </c>
      <c r="C56" s="11" t="s">
        <v>37</v>
      </c>
      <c r="D56">
        <v>197</v>
      </c>
      <c r="E56" s="1" t="str">
        <f t="shared" si="1"/>
        <v>10.03.2026</v>
      </c>
      <c r="F56" s="5" t="s">
        <v>41</v>
      </c>
      <c r="G56" s="5" t="str">
        <f t="shared" ref="G56:G59" si="55">IF(OR(ISNUMBER(SEARCH("кража",B56)),ISNUMBER(SEARCH("карты",B56)),ISNUMBER(SEARCH("счета",B56))),"Кража с карты/счета",IF(OR(ISNUMBER(SEARCH("безопасный счет",B56)),ISNUMBER(SEARCH("безопасного счета",B56)),ISNUMBER(SEARCH("предотвращения незаконных действий",B56))),"Мошенничество «безопасный счёт»",IF(OR(ISNUMBER(SEARCH("покупк",B56)),ISNUMBER(SEARCH("оплата",B56)),ISNUMBER(SEARCH("авито",B56)),ISNUMBER(SEARCH("автомобиля",B56)),ISNUMBER(SEARCH("колес",B56))),"Мошенничество при покупке/услугах",IF(OR(ISNUMBER(SEARCH("продиктовал",B56)),ISNUMBER(SEARCH("смс код",B56)),ISNUMBER(SEARCH("бот псб",B56)),ISNUMBER(SEARCH("мессенджер",B56))),"Социальная инженерия (коды/мессенджеры)",IF(OR(ISNUMBER(SEARCH("неправомерный доступ",B56)),ISNUMBER(SEARCH("ст. 272",#REF!))),"Неправомерный доступ (ст.272)",IF(OR(ISNUMBER(SEARCH("вымогательство",B56)),ISNUMBER(SEARCH("ст. 163",#REF!))),"Вымогательство","Прочие виды"))))))</f>
        <v>Прочие виды</v>
      </c>
      <c r="H56" s="16">
        <v>0</v>
      </c>
      <c r="I56" s="12">
        <v>19679</v>
      </c>
      <c r="J56" s="5" t="s">
        <v>102</v>
      </c>
      <c r="K56" s="14">
        <v>9800</v>
      </c>
    </row>
    <row r="57" spans="1:11" ht="26.4">
      <c r="A57" s="9" t="s">
        <v>13</v>
      </c>
      <c r="B57" s="10">
        <v>46092</v>
      </c>
      <c r="C57" s="9" t="s">
        <v>38</v>
      </c>
      <c r="D57">
        <v>791</v>
      </c>
      <c r="E57" s="1" t="str">
        <f t="shared" si="1"/>
        <v>11.03.2026</v>
      </c>
      <c r="F57" s="9" t="s">
        <v>42</v>
      </c>
      <c r="G57" s="7" t="str">
        <f t="shared" ref="G57:G59" si="56">IF(OR(ISNUMBER(SEARCH("кража",B57)),ISNUMBER(SEARCH("карты",B57)),ISNUMBER(SEARCH("счета",B57))),"Кража с карты/счета",IF(OR(ISNUMBER(SEARCH("безопасный счет",B57)),ISNUMBER(SEARCH("безопасного счета",B57)),ISNUMBER(SEARCH("предотвращения незаконных действий",B57))),"Мошенничество «безопасный счёт»",IF(OR(ISNUMBER(SEARCH("покупк",B57)),ISNUMBER(SEARCH("оплата",B57)),ISNUMBER(SEARCH("авито",B57)),ISNUMBER(SEARCH("автомобиля",B57)),ISNUMBER(SEARCH("колес",B57))),"Мошенничество при покупке/услугах",IF(OR(ISNUMBER(SEARCH("продиктовал",B57)),ISNUMBER(SEARCH("смс код",B57)),ISNUMBER(SEARCH("бот псб",B57)),ISNUMBER(SEARCH("мессенджер",B57))),"Социальная инженерия (коды/мессенджеры)",IF(OR(ISNUMBER(SEARCH("неправомерный доступ",B57)),ISNUMBER(SEARCH("ст. 272",#REF!))),"Неправомерный доступ (ст.272)",IF(OR(ISNUMBER(SEARCH("вымогательство",B57)),ISNUMBER(SEARCH("ст. 163",#REF!))),"Вымогательство","Прочие виды"))))))</f>
        <v>Прочие виды</v>
      </c>
      <c r="H57" s="16">
        <v>0</v>
      </c>
      <c r="I57" s="10">
        <v>27874</v>
      </c>
      <c r="J57" s="7" t="s">
        <v>104</v>
      </c>
      <c r="K57" s="15">
        <v>50000</v>
      </c>
    </row>
    <row r="58" spans="1:11" ht="26.4">
      <c r="A58" s="11" t="s">
        <v>12</v>
      </c>
      <c r="B58" s="12">
        <v>46092</v>
      </c>
      <c r="C58" s="11" t="s">
        <v>39</v>
      </c>
      <c r="D58">
        <v>1332</v>
      </c>
      <c r="E58" s="1" t="str">
        <f t="shared" si="1"/>
        <v>11.03.2026</v>
      </c>
      <c r="F58" s="11" t="s">
        <v>46</v>
      </c>
      <c r="G58" s="5" t="str">
        <f t="shared" ref="G58:G59" si="57">IF(OR(ISNUMBER(SEARCH("кража",B58)),ISNUMBER(SEARCH("карты",B58)),ISNUMBER(SEARCH("счета",B58))),"Кража с карты/счета",IF(OR(ISNUMBER(SEARCH("безопасный счет",B58)),ISNUMBER(SEARCH("безопасного счета",B58)),ISNUMBER(SEARCH("предотвращения незаконных действий",B58))),"Мошенничество «безопасный счёт»",IF(OR(ISNUMBER(SEARCH("покупк",B58)),ISNUMBER(SEARCH("оплата",B58)),ISNUMBER(SEARCH("авито",B58)),ISNUMBER(SEARCH("автомобиля",B58)),ISNUMBER(SEARCH("колес",B58))),"Мошенничество при покупке/услугах",IF(OR(ISNUMBER(SEARCH("продиктовал",B58)),ISNUMBER(SEARCH("смс код",B58)),ISNUMBER(SEARCH("бот псб",B58)),ISNUMBER(SEARCH("мессенджер",B58))),"Социальная инженерия (коды/мессенджеры)",IF(OR(ISNUMBER(SEARCH("неправомерный доступ",B58)),ISNUMBER(SEARCH("ст. 272",#REF!))),"Неправомерный доступ (ст.272)",IF(OR(ISNUMBER(SEARCH("вымогательство",B58)),ISNUMBER(SEARCH("ст. 163",#REF!))),"Вымогательство","Прочие виды"))))))</f>
        <v>Прочие виды</v>
      </c>
      <c r="H58" s="16">
        <v>0</v>
      </c>
      <c r="I58" s="12">
        <v>29586</v>
      </c>
      <c r="J58" s="5" t="s">
        <v>105</v>
      </c>
      <c r="K58" s="14">
        <v>14800</v>
      </c>
    </row>
    <row r="59" spans="1:11" ht="26.4">
      <c r="A59" s="9" t="s">
        <v>13</v>
      </c>
      <c r="B59" s="10">
        <v>46093</v>
      </c>
      <c r="C59" s="9" t="s">
        <v>40</v>
      </c>
      <c r="D59">
        <v>809</v>
      </c>
      <c r="E59" s="1" t="str">
        <f t="shared" si="1"/>
        <v>12.03.2026</v>
      </c>
      <c r="F59" s="9"/>
      <c r="G59" s="7" t="str">
        <f t="shared" ref="G59" si="58">IF(OR(ISNUMBER(SEARCH("кража",B59)),ISNUMBER(SEARCH("карты",B59)),ISNUMBER(SEARCH("счета",B59))),"Кража с карты/счета",IF(OR(ISNUMBER(SEARCH("безопасный счет",B59)),ISNUMBER(SEARCH("безопасного счета",B59)),ISNUMBER(SEARCH("предотвращения незаконных действий",B59))),"Мошенничество «безопасный счёт»",IF(OR(ISNUMBER(SEARCH("покупк",B59)),ISNUMBER(SEARCH("оплата",B59)),ISNUMBER(SEARCH("авито",B59)),ISNUMBER(SEARCH("автомобиля",B59)),ISNUMBER(SEARCH("колес",B59))),"Мошенничество при покупке/услугах",IF(OR(ISNUMBER(SEARCH("продиктовал",B59)),ISNUMBER(SEARCH("смс код",B59)),ISNUMBER(SEARCH("бот псб",B59)),ISNUMBER(SEARCH("мессенджер",B59))),"Социальная инженерия (коды/мессенджеры)",IF(OR(ISNUMBER(SEARCH("неправомерный доступ",B59)),ISNUMBER(SEARCH("ст. 272",#REF!))),"Неправомерный доступ (ст.272)",IF(OR(ISNUMBER(SEARCH("вымогательство",B59)),ISNUMBER(SEARCH("ст. 163",#REF!))),"Вымогательство","Прочие виды"))))))</f>
        <v>Прочие виды</v>
      </c>
      <c r="H59" s="16">
        <v>1</v>
      </c>
      <c r="I59" s="10">
        <v>18585</v>
      </c>
      <c r="J59" s="7" t="s">
        <v>105</v>
      </c>
      <c r="K59" s="15">
        <v>138500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pseman</dc:creator>
  <cp:lastModifiedBy>pseman</cp:lastModifiedBy>
  <dcterms:created xsi:type="dcterms:W3CDTF">2026-04-07T07:41:58Z</dcterms:created>
  <dcterms:modified xsi:type="dcterms:W3CDTF">2026-04-07T08:48:43Z</dcterms:modified>
</cp:coreProperties>
</file>